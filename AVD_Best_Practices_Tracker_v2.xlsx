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hah\Dropbox\Personal\Desk-PC\myTechInfo\Azure Info\Automation Runbooks\AVD\"/>
    </mc:Choice>
  </mc:AlternateContent>
  <xr:revisionPtr revIDLastSave="0" documentId="13_ncr:1_{3A648303-E220-484C-832C-6ECFD11D73E9}" xr6:coauthVersionLast="47" xr6:coauthVersionMax="47" xr10:uidLastSave="{00000000-0000-0000-0000-000000000000}"/>
  <bookViews>
    <workbookView xWindow="-120" yWindow="-120" windowWidth="29040" windowHeight="15720" tabRatio="500" xr2:uid="{00000000-000D-0000-FFFF-FFFF00000000}"/>
  </bookViews>
  <sheets>
    <sheet name="AVD Session Settings" sheetId="1" r:id="rId1"/>
    <sheet name="FSLogix Settings" sheetId="2" r:id="rId2"/>
    <sheet name="OS &amp; App Patching" sheetId="3" r:id="rId3"/>
    <sheet name="Cost Tracker" sheetId="4" r:id="rId4"/>
    <sheet name="Security Settings" sheetId="5" r:id="rId5"/>
    <sheet name="AVD Auto-Scaling" sheetId="6" r:id="rId6"/>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E97" i="6" l="1"/>
  <c r="D97" i="6"/>
  <c r="F97" i="6" s="1"/>
  <c r="E96" i="6"/>
  <c r="D96" i="6"/>
  <c r="F96" i="6" s="1"/>
  <c r="E95" i="6"/>
  <c r="D95" i="6"/>
  <c r="F95" i="6" s="1"/>
  <c r="E94" i="6"/>
  <c r="D94" i="6"/>
  <c r="F94" i="6" s="1"/>
  <c r="E93" i="6"/>
  <c r="F93" i="6" s="1"/>
  <c r="D93" i="6"/>
  <c r="E92" i="6"/>
  <c r="D92" i="6"/>
  <c r="F92" i="6" s="1"/>
  <c r="E91" i="6"/>
  <c r="D91" i="6"/>
  <c r="F91" i="6" s="1"/>
  <c r="E90" i="6"/>
  <c r="D90" i="6"/>
  <c r="F90" i="6" s="1"/>
  <c r="F57" i="4"/>
  <c r="F55" i="4"/>
  <c r="F54" i="4"/>
  <c r="H51" i="4"/>
  <c r="G51" i="4"/>
  <c r="H50" i="4"/>
  <c r="G50" i="4"/>
  <c r="H49" i="4"/>
  <c r="G49" i="4"/>
  <c r="H48" i="4"/>
  <c r="G48" i="4"/>
  <c r="H47" i="4"/>
  <c r="G47" i="4"/>
  <c r="H46" i="4"/>
  <c r="G46" i="4"/>
  <c r="H45" i="4"/>
  <c r="G45" i="4"/>
  <c r="H44" i="4"/>
  <c r="G44" i="4"/>
  <c r="H43" i="4"/>
  <c r="G43" i="4"/>
  <c r="H42" i="4"/>
  <c r="G42" i="4"/>
  <c r="H41" i="4"/>
  <c r="G41" i="4"/>
  <c r="H40" i="4"/>
  <c r="G40" i="4"/>
  <c r="H39" i="4"/>
  <c r="G39" i="4"/>
  <c r="H37" i="4"/>
  <c r="G37" i="4"/>
  <c r="G36" i="4"/>
  <c r="H36" i="4" s="1"/>
  <c r="G35" i="4"/>
  <c r="H35" i="4" s="1"/>
  <c r="G34" i="4"/>
  <c r="H34" i="4" s="1"/>
  <c r="G32" i="4"/>
  <c r="H32" i="4" s="1"/>
  <c r="G31" i="4"/>
  <c r="H31" i="4" s="1"/>
  <c r="G30" i="4"/>
  <c r="H30" i="4" s="1"/>
  <c r="H29" i="4"/>
  <c r="G29" i="4"/>
  <c r="G28" i="4"/>
  <c r="H28" i="4" s="1"/>
  <c r="G27" i="4"/>
  <c r="H27" i="4" s="1"/>
  <c r="G26" i="4"/>
  <c r="H26" i="4" s="1"/>
  <c r="G25" i="4"/>
  <c r="H25" i="4" s="1"/>
  <c r="G24" i="4"/>
  <c r="H24" i="4" s="1"/>
  <c r="G23" i="4"/>
  <c r="H23" i="4" s="1"/>
  <c r="H21" i="4"/>
  <c r="G21" i="4"/>
  <c r="G20" i="4"/>
  <c r="H20" i="4" s="1"/>
  <c r="G19" i="4"/>
  <c r="H19" i="4" s="1"/>
  <c r="G18" i="4"/>
  <c r="H18" i="4" s="1"/>
  <c r="G16" i="4"/>
  <c r="H16" i="4" s="1"/>
  <c r="G15" i="4"/>
  <c r="H15" i="4" s="1"/>
  <c r="G14" i="4"/>
  <c r="H14" i="4" s="1"/>
  <c r="H13" i="4"/>
  <c r="G13" i="4"/>
  <c r="G12" i="4"/>
  <c r="H12" i="4" s="1"/>
  <c r="G10" i="4"/>
  <c r="H10" i="4" s="1"/>
  <c r="G9" i="4"/>
  <c r="H9" i="4" s="1"/>
  <c r="G8" i="4"/>
  <c r="H8" i="4" s="1"/>
  <c r="G7" i="4"/>
  <c r="H7" i="4" s="1"/>
  <c r="G6" i="4"/>
  <c r="H6" i="4" s="1"/>
  <c r="G5" i="4"/>
  <c r="H5" i="4" s="1"/>
  <c r="F56" i="4" l="1"/>
  <c r="F59" i="4"/>
</calcChain>
</file>

<file path=xl/sharedStrings.xml><?xml version="1.0" encoding="utf-8"?>
<sst xmlns="http://schemas.openxmlformats.org/spreadsheetml/2006/main" count="1881" uniqueCount="1218">
  <si>
    <t>#</t>
  </si>
  <si>
    <t>Setting Name</t>
  </si>
  <si>
    <t>Registry / RDP Key</t>
  </si>
  <si>
    <t>Recommended Value</t>
  </si>
  <si>
    <t>Default Value</t>
  </si>
  <si>
    <t>Priority</t>
  </si>
  <si>
    <t>Impact Area</t>
  </si>
  <si>
    <t>Description &amp; Rationale</t>
  </si>
  <si>
    <t>Configuration Method</t>
  </si>
  <si>
    <t xml:space="preserve">  ▸  TIMEOUTS &amp; SESSION LIFECYCLE</t>
  </si>
  <si>
    <t>Disconnect Timeout</t>
  </si>
  <si>
    <t>MaxDisconnectionTime</t>
  </si>
  <si>
    <t>28800000 ms (8 hrs)</t>
  </si>
  <si>
    <t>0 (never)</t>
  </si>
  <si>
    <t>HIGH</t>
  </si>
  <si>
    <t>User Experience</t>
  </si>
  <si>
    <t>Disconnected sessions kept alive max 8hrs. Balances user reconnect convenience vs resource consumption. For store associates (F1) consider 4hrs (14400000).</t>
  </si>
  <si>
    <t>Host Pool RDP Properties / GPO</t>
  </si>
  <si>
    <t>Idle Session Limit</t>
  </si>
  <si>
    <t>MaxIdleTime</t>
  </si>
  <si>
    <t>7200000 ms (2 hrs)</t>
  </si>
  <si>
    <t>Cost</t>
  </si>
  <si>
    <t>Log off idle sessions after 2hrs to free session host resources. For frontline workers on shared VMs, reduce to 30-60 mins (1800000-3600000) to maximize seat density.</t>
  </si>
  <si>
    <t>GPO: Computer Config &gt; Windows Settings &gt; Security &gt; Session Timeout</t>
  </si>
  <si>
    <t>Active Session Limit</t>
  </si>
  <si>
    <t>MaxConnectionTime</t>
  </si>
  <si>
    <t>0 (no limit) for office | 43200000 (12hrs) for frontline</t>
  </si>
  <si>
    <t>0 (no limit)</t>
  </si>
  <si>
    <t>MEDIUM</t>
  </si>
  <si>
    <t>Enforce session end after 12hrs for frontline shift workers to ensure sessions don't persist across shifts. Office workers can have unlimited active sessions.</t>
  </si>
  <si>
    <t>GPO: Session Timeout Policies</t>
  </si>
  <si>
    <t>Reconnection from Disconnected State</t>
  </si>
  <si>
    <t>fReconnectSame</t>
  </si>
  <si>
    <t>1 (Enabled — reconnect to same host)</t>
  </si>
  <si>
    <t>0 (any host)</t>
  </si>
  <si>
    <t>Users reconnect to the SAME session host and get their running session back. Critical for FSLogix profile consistency and ongoing work preservation.</t>
  </si>
  <si>
    <t>Host Pool RDP Properties</t>
  </si>
  <si>
    <t>End Session on Disconnect (Frontline)</t>
  </si>
  <si>
    <t>Session Disconnect Behavior</t>
  </si>
  <si>
    <t>Disconnect (not logoff) for E3 | Logoff for F1 after idle timeout</t>
  </si>
  <si>
    <t>Disconnect</t>
  </si>
  <si>
    <t>F1 frontline workers: logoff after idle to free session slot for next shift worker. E3 office workers: disconnect so they reconnect to running session.</t>
  </si>
  <si>
    <t>GPO: Remote Desktop Services &gt; Session Time Limits</t>
  </si>
  <si>
    <t xml:space="preserve">  ▸  DISPLAY &amp; GRAPHICS PERFORMANCE</t>
  </si>
  <si>
    <t>Color Depth</t>
  </si>
  <si>
    <t>session-type:i:2 (32-bit)</t>
  </si>
  <si>
    <t>32-bit (value: 32)</t>
  </si>
  <si>
    <t>32-bit</t>
  </si>
  <si>
    <t>Performance</t>
  </si>
  <si>
    <t>32-bit color depth for full fidelity. For thin clients on low bandwidth, reduce to 16-bit (value: 16) to improve responsiveness. Test with SAP Fiori — some UI elements look poor at 16-bit.</t>
  </si>
  <si>
    <t>Screen Resolution (iPad)</t>
  </si>
  <si>
    <t>desktopwidth:i | desktopheight:i</t>
  </si>
  <si>
    <t>1920x1080 (Full HD)</t>
  </si>
  <si>
    <t>Auto-detect</t>
  </si>
  <si>
    <t>For iPads using RD Client, AVD auto-detects the screen resolution. Enable DPI-aware mode for Retina/high-DPI iPads. Test SAP Fiori at iPad resolution for usability.</t>
  </si>
  <si>
    <t>Host Pool RDP Properties / RD Client settings</t>
  </si>
  <si>
    <t>GPU-Accelerated Rendering (RemoteFX / HEVC)</t>
  </si>
  <si>
    <t>encode-redirected-video-capture:i:1</t>
  </si>
  <si>
    <t>1 (Enabled) for VM SKUs with GPU | 0 for standard compute</t>
  </si>
  <si>
    <t>0 (disabled)</t>
  </si>
  <si>
    <t>LOW</t>
  </si>
  <si>
    <t>Enable only if using NV-series GPU VMs. For standard D-series session hosts (BDF scenario), keep disabled. GPU VMs are overkill for SAP browser + Office workloads.</t>
  </si>
  <si>
    <t>Multimedia Redirection (MMR)</t>
  </si>
  <si>
    <t>enablerdsaadredirection:i:1</t>
  </si>
  <si>
    <t>1 (Enabled)</t>
  </si>
  <si>
    <t>Offloads media decoding to the client device. Critical for any video content (Teams calls, training videos). Reduces server CPU load by 40-60% for media workloads. Requires AVD Multimedia Redirection extension in Edge.</t>
  </si>
  <si>
    <t>Host Pool RDP Properties + Edge extension deployment</t>
  </si>
  <si>
    <t>UDP Transport (RDP Shortpath)</t>
  </si>
  <si>
    <t>use-redirection-server-name:s</t>
  </si>
  <si>
    <t>Enabled (Public network Shortpath or Managed network)</t>
  </si>
  <si>
    <t>TCP only</t>
  </si>
  <si>
    <t>CRITICAL</t>
  </si>
  <si>
    <t>RDP Shortpath uses UDP for transport — dramatically reduces latency and packet loss compared to TCP-based reverse connect. Especially important for iPad users on store WiFi. Can reduce latency by 30-50ms.</t>
  </si>
  <si>
    <t>Host Pool Settings + Network NSG (UDP 65330)</t>
  </si>
  <si>
    <t xml:space="preserve">  ▸  DEVICE REDIRECTION SETTINGS</t>
  </si>
  <si>
    <t>Clipboard Redirection</t>
  </si>
  <si>
    <t>redirectclipboard:i:1</t>
  </si>
  <si>
    <t>1 (Enabled) for E3 | 0 (Disabled) for F1 (security)</t>
  </si>
  <si>
    <t>1 (enabled)</t>
  </si>
  <si>
    <t>Security</t>
  </si>
  <si>
    <t>Enable for E3 office workers (productivity). Disable or restrict for F1 frontline on shared devices for DLP — prevents data copy from AVD to unmanaged iPads. Zscaler DLP also provides a second layer of control.</t>
  </si>
  <si>
    <t>Drive Redirection</t>
  </si>
  <si>
    <t>redirectdrives:i:0</t>
  </si>
  <si>
    <t>0 (Disabled) — use OneDrive instead</t>
  </si>
  <si>
    <t>Disable local drive redirection to prevent data exfiltration to thin clients/iPads. Users should save to OneDrive (included in E3/F1) or SharePoint instead. Creates cleaner data governance.</t>
  </si>
  <si>
    <t>Printer Redirection</t>
  </si>
  <si>
    <t>redirectprinters:i:1</t>
  </si>
  <si>
    <t>1 (Enabled) with Universal Print preferred</t>
  </si>
  <si>
    <t>Enable printer redirection but deploy Microsoft Universal Print for cloud-managed printing. Universal Print eliminates need for print server and works natively with Azure AD-joined session hosts. Included in E3 (via M365 print allowance).</t>
  </si>
  <si>
    <t>Host Pool RDP Properties + Universal Print setup in Intune</t>
  </si>
  <si>
    <t>USB Redirection</t>
  </si>
  <si>
    <t>usbdevicestoredirect:s:</t>
  </si>
  <si>
    <t>Blank (disable generic USB) | Whitelist specific device classes only</t>
  </si>
  <si>
    <t>All USB allowed</t>
  </si>
  <si>
    <t>Disable bulk USB redirection for security. Whitelist only business-required USB classes (e.g., barcode scanner class: {36fc9e60-c465-11cf-8056-444553540000}). This is critical for retail POS environments.</t>
  </si>
  <si>
    <t>Host Pool RDP Properties + RD Client config</t>
  </si>
  <si>
    <t>Smart Card Redirection</t>
  </si>
  <si>
    <t>redirectsmartcards:i:0</t>
  </si>
  <si>
    <t>0 (Disabled) unless smart cards used for auth</t>
  </si>
  <si>
    <t>Keep disabled unless BDF uses smart card authentication. With Entra ID MFA, smart cards are generally not needed. Enabling unnecessarily increases attack surface.</t>
  </si>
  <si>
    <t>Camera Redirection</t>
  </si>
  <si>
    <t>camerastoredirect:s:*</t>
  </si>
  <si>
    <t>* (Enabled for E3) | Blank (disabled for F1)</t>
  </si>
  <si>
    <t>Disabled</t>
  </si>
  <si>
    <t>Enable camera redirection for E3 office workers using Teams video calls. Disable for F1 frontline workers on shared kiosk devices where camera access is inappropriate.</t>
  </si>
  <si>
    <t xml:space="preserve">  ▸  AUDIO, TEAMS &amp; COMMUNICATION OPTIMIZATION</t>
  </si>
  <si>
    <t>Audio Output Redirection</t>
  </si>
  <si>
    <t>audiomode:i:0</t>
  </si>
  <si>
    <t>0 (Play on client)</t>
  </si>
  <si>
    <t>Audio plays on the client device (thin client speakers or iPad). Mode 1 = play on server (not recommended — wastes server audio resources). Mode 2 = disable audio entirely (use for kiosk-only deployments).</t>
  </si>
  <si>
    <t>Audio Input Redirection (Microphone)</t>
  </si>
  <si>
    <t>audiocapturemode:i:1</t>
  </si>
  <si>
    <t>1 (Enabled for E3 Teams users)</t>
  </si>
  <si>
    <t>Required for Teams voice calls from AVD sessions. Enable for E3 office workers. Disable for F1 frontline if voice calls are not a use case — reduces bandwidth.</t>
  </si>
  <si>
    <t>Teams Media Optimization (AVD)</t>
  </si>
  <si>
    <t>Teams Optimization</t>
  </si>
  <si>
    <t>Enabled via WebRTC Redirector Service</t>
  </si>
  <si>
    <t>Not configured</t>
  </si>
  <si>
    <t>Install Microsoft Teams WebRTC Redirector Service on session host image. This offloads Teams audio/video processing to the CLIENT device — dramatically better call quality, lower server CPU. Without this, Teams calls are processed server-side (terrible quality).</t>
  </si>
  <si>
    <t>Golden image — install SlimCoreWebRTC + Teams Machine-Wide Installer</t>
  </si>
  <si>
    <t xml:space="preserve">  ▸  AUTHENTICATION &amp; SINGLE SIGN-ON</t>
  </si>
  <si>
    <t>Single Sign-On (SSO) via Entra ID</t>
  </si>
  <si>
    <t>Enabled (Entra ID SSO)</t>
  </si>
  <si>
    <t>Enable AVD SSO so users authenticated to their device/browser are automatically signed into AVD without a second login prompt. Requires Entra ID app registration for AVD. Works on iPads, thin clients, and PCs. Eliminates the 'double login' experience users hate.</t>
  </si>
  <si>
    <t>Entra ID → App Registrations + Host Pool SSO settings</t>
  </si>
  <si>
    <t>Credential Prompt on Reconnect</t>
  </si>
  <si>
    <t>prompt for credentials on client:i:0</t>
  </si>
  <si>
    <t>0 (do not prompt — use SSO)</t>
  </si>
  <si>
    <t>0 (do not prompt)</t>
  </si>
  <si>
    <t>With SSO enabled, credentials should not be re-prompted on reconnect. Verify this setting after enabling SSO. If set to 1, users get credential popup on every reconnection.</t>
  </si>
  <si>
    <t xml:space="preserve">  ▸  SESSION-LEVEL SECURITY HARDENING</t>
  </si>
  <si>
    <t>Drain Mode (Maintenance)</t>
  </si>
  <si>
    <t>Drain Mode</t>
  </si>
  <si>
    <t>Enable on hosts before patching/updates</t>
  </si>
  <si>
    <t>Off</t>
  </si>
  <si>
    <t>REQUIRED</t>
  </si>
  <si>
    <t>Reliability</t>
  </si>
  <si>
    <t>Enable Drain Mode on a session host before applying patches or updates. This prevents new connections while allowing existing sessions to complete. Part of rolling patch strategy — drain, patch, validate, re-enable one host at a time.</t>
  </si>
  <si>
    <t>AVD Portal: Host Pool → Session Hosts → Enable Drain Mode</t>
  </si>
  <si>
    <t>Max Session Limit</t>
  </si>
  <si>
    <t>MaxSessionLimit (Host Pool)</t>
  </si>
  <si>
    <t>E3: 8 sessions/VM | F1: 12 sessions/VM</t>
  </si>
  <si>
    <t>999999 (unlimited)</t>
  </si>
  <si>
    <t>MUST configure this. Unlimited sessions = VM resource exhaustion and terrible user experience. D4ds_v5 (4vCPU/16GB) handles ~8 concurrent office sessions. D8ds_v5 (8vCPU/32GB) handles 12-15 frontline sessions with light workloads.</t>
  </si>
  <si>
    <t>Host Pool Properties → Max Session Limit</t>
  </si>
  <si>
    <t>Screen Capture Protection</t>
  </si>
  <si>
    <t>Block on client and server (value: 2) for sensitive data hosts</t>
  </si>
  <si>
    <t>Prevents screenshots and screen recording from within AVD sessions. Critical for any SAP sessions displaying sensitive financial/customer data. Blocks native Windows screenshot, PrtScn, and screen-recording tools.</t>
  </si>
  <si>
    <t>Host Pool RDP Properties → Screen Capture Protection</t>
  </si>
  <si>
    <t>Watermarking</t>
  </si>
  <si>
    <t>Enabled (show UPN + session info watermark)</t>
  </si>
  <si>
    <t>Display a faint watermark with user UPN and connection info on the session desktop. Deters screen photography of sensitive data and aids forensic investigation if data leakage occurs. Minimal performance impact.</t>
  </si>
  <si>
    <t>Host Pool RDP Properties → Watermarking</t>
  </si>
  <si>
    <t xml:space="preserve">  ▸  RELIABILITY &amp; LOAD BALANCING</t>
  </si>
  <si>
    <t>Load Balancing Algorithm</t>
  </si>
  <si>
    <t>loadBalancerType</t>
  </si>
  <si>
    <t>BreadthFirst (peak hours) | DepthFirst (off-peak/auto-scale)</t>
  </si>
  <si>
    <t>BreadthFirst</t>
  </si>
  <si>
    <t>BreadthFirst spreads users across all available VMs — better performance, each VM has fewer sessions. DepthFirst packs users into fewer VMs — allows other VMs to be shut down by auto-scaling to save cost. Scaling Plans can switch between modes by schedule.</t>
  </si>
  <si>
    <t>Host Pool Properties / Scaling Plan schedule</t>
  </si>
  <si>
    <t>Personal Desktop Assignment (E3 Power Users)</t>
  </si>
  <si>
    <t>personalDesktopAssignmentType</t>
  </si>
  <si>
    <t>Automatic (for pooled) | Direct (for personal desktops for power users)</t>
  </si>
  <si>
    <t>Automatic</t>
  </si>
  <si>
    <t>For senior staff or developers needing persistent VMs (personal desktops), use personal host pool with Direct assignment. Most BDF users use pooled — only assign personal VMs where justified (adds cost).</t>
  </si>
  <si>
    <t>Host Pool Properties → Assignment Type</t>
  </si>
  <si>
    <t>Start VM on Connect</t>
  </si>
  <si>
    <t>Start VM On Connect</t>
  </si>
  <si>
    <t>Enabled</t>
  </si>
  <si>
    <t>Allows deallocated VMs to start automatically when a user connects. Works with Scaling Plans to allow VMs to fully power off (saving compute cost) while still being available on-demand. Without this, scale-in savings are limited.</t>
  </si>
  <si>
    <t>Host Pool Properties → Start VM On Connect + RBAC role assignment</t>
  </si>
  <si>
    <t>Session Host Health Check Interval</t>
  </si>
  <si>
    <t>Health Check</t>
  </si>
  <si>
    <t>Enabled (auto) — monitor for AVD Agent, domain join, FSLogix, Defender</t>
  </si>
  <si>
    <t>Auto</t>
  </si>
  <si>
    <t>AVD runs built-in health checks on session hosts. Ensure all health checks pass (green) before enabling hosts for user sessions. Health check failures (FSLogix not reachable, Defender not running) prevent session launches.</t>
  </si>
  <si>
    <t>AVD Portal: Host Pool → Session Hosts → Health column</t>
  </si>
  <si>
    <t>Diagnostics &amp; Log Forwarding</t>
  </si>
  <si>
    <t>Diagnostics Settings</t>
  </si>
  <si>
    <t>All categories → Log Analytics Workspace</t>
  </si>
  <si>
    <t>Enable diagnostic settings on Host Pool, Workspace, and App Groups to forward all events to Log Analytics. Powers AVD Insights dashboard. Without this, you are blind to connection failures, latency issues, and capacity problems.</t>
  </si>
  <si>
    <t>Host Pool → Diagnostic Settings → Enable all → Send to Log Analytics</t>
  </si>
  <si>
    <t>Registry Path &amp; Key</t>
  </si>
  <si>
    <t>E3 Office</t>
  </si>
  <si>
    <t>F1 Frontline</t>
  </si>
  <si>
    <t>Notes &amp; Rationale</t>
  </si>
  <si>
    <t xml:space="preserve">  ▸  PROFILE CONTAINER CORE SETTINGS</t>
  </si>
  <si>
    <t>Enable Profile Container</t>
  </si>
  <si>
    <t>HKLM\SOFTWARE\FSLogix\Profiles  →  Enabled</t>
  </si>
  <si>
    <t>1 (DWORD)</t>
  </si>
  <si>
    <t>Yes</t>
  </si>
  <si>
    <t>Must be set to 1 to activate FSLogix profile containers. Without this, Windows uses local profiles — these are lost on session host rotation in pooled deployments.</t>
  </si>
  <si>
    <t>VHD Location (E3 Office Profiles)</t>
  </si>
  <si>
    <t>HKLM\SOFTWARE\FSLogix\Profiles  →  VHDLocations</t>
  </si>
  <si>
    <t>\\stbdfavdprod.file.core.windows.net\profiles-e3</t>
  </si>
  <si>
    <t>Empty (not configured)</t>
  </si>
  <si>
    <t>No</t>
  </si>
  <si>
    <t>UNC path to Azure Files Premium share for E3 office worker profiles. Use private endpoint FQDN. For high availability, specify 2 paths separated by | — Cloud Cache can provide even higher HA.</t>
  </si>
  <si>
    <t>VHD Location (F1 Frontline Profiles)</t>
  </si>
  <si>
    <t>\\stbdfavdprod.file.core.windows.net\profiles-f1</t>
  </si>
  <si>
    <t>Separate share for F1 frontline workers. Smaller VHDX size (2GB vs 10GB). Separate share allows different NTFS permissions, backup policy, and quota management.</t>
  </si>
  <si>
    <t>VHD Size (E3 Office)</t>
  </si>
  <si>
    <t>HKLM\SOFTWARE\FSLogix\Profiles  →  SizeInMBs</t>
  </si>
  <si>
    <t>10240 (10 GB)</t>
  </si>
  <si>
    <t>30000 (30 GB default)</t>
  </si>
  <si>
    <t>10GB is sufficient for most office workers (browser data, desktop files, app settings). The VHDX grows dynamically — initial allocation does not consume full 10GB immediately. Avoid oversizing to reduce Azure Files storage cost.</t>
  </si>
  <si>
    <t>VHD Size (F1 Frontline)</t>
  </si>
  <si>
    <t>2048 (2 GB)</t>
  </si>
  <si>
    <t>Frontline workers have minimal profiles — browser settings, minimal app data. 2GB is ample. Lower size also reduces risk of Azure Files quota exhaustion on the F1 share.</t>
  </si>
  <si>
    <t>VHD Type</t>
  </si>
  <si>
    <t>HKLM\SOFTWARE\FSLogix\Profiles  →  VolumeType</t>
  </si>
  <si>
    <t>VHDX (recommended)</t>
  </si>
  <si>
    <t>VHD</t>
  </si>
  <si>
    <t>Always use VHDX over VHD. VHDX supports larger max sizes, is more resilient to corruption, and is required for all modern FSLogix features including dynamic expansion and Cloud Cache.</t>
  </si>
  <si>
    <t>Delete Local Profile on VHD Mount</t>
  </si>
  <si>
    <t>HKLM\SOFTWARE\FSLogix\Profiles  →  DeleteLocalProfileWhenVHDShouldApply</t>
  </si>
  <si>
    <t>1 (Delete local profile if VHD should apply)</t>
  </si>
  <si>
    <t>0 (don't delete)</t>
  </si>
  <si>
    <t>Removes any local profile if FSLogix profile container applies. Prevents profile conflicts and ensures users always get their roaming profile, not a stale local copy. Set to 1 for all pooled deployments.</t>
  </si>
  <si>
    <t>Profile Folder Naming (Flip-Flop)</t>
  </si>
  <si>
    <t>HKLM\SOFTWARE\FSLogix\Profiles  →  FlipFlopProfileDirectoryName</t>
  </si>
  <si>
    <t>1 (USERNAME_SID format)</t>
  </si>
  <si>
    <t>0 (SID_USERNAME format)</t>
  </si>
  <si>
    <t>Naming format: 1 = 'JohnDoe_S-1-5-21-...' (readable). 0 = 'S-1-5-21-..._JohnDoe'. Use value 1 for easier admin management — you can identify profiles by username at a glance in Azure Files portal.</t>
  </si>
  <si>
    <t>Locked VHD Handling</t>
  </si>
  <si>
    <t>HKLM\SOFTWARE\FSLogix\Profiles  →  IsDynamic</t>
  </si>
  <si>
    <t>1 (Dynamic VHDX — auto-expand)</t>
  </si>
  <si>
    <t>1</t>
  </si>
  <si>
    <t>Keep dynamic expansion enabled so VHDXs only consume actual used space. A 10GB VHDX for a user with 1GB of data uses ~1GB, not 10GB on Azure Files.</t>
  </si>
  <si>
    <t xml:space="preserve">  ▸  OFFICE 365 / TEAMS CONTAINER (ODFC)</t>
  </si>
  <si>
    <t>Enable Office Container (ODFC)</t>
  </si>
  <si>
    <t>HKLM\SOFTWARE\Policies\FSLogix\ODFC  →  Enabled</t>
  </si>
  <si>
    <t>Separate Office Container (ODFC) for Teams cache, Outlook OST, OneDrive cache, and O365 data. Keeps the main profile container small and fast. Teams cache alone can be 2-8GB — putting it in main profile destroys logon times.</t>
  </si>
  <si>
    <t>ODFC VHD Location</t>
  </si>
  <si>
    <t>HKLM\SOFTWARE\Policies\FSLogix\ODFC  →  VHDLocations</t>
  </si>
  <si>
    <t>\\stbdfavdprod.file.core.windows.net\odfc-e3</t>
  </si>
  <si>
    <t>Empty</t>
  </si>
  <si>
    <t>Separate Azure Files share for Office containers. Keep ODFC and Profile containers on separate file shares for performance isolation and independent backup/restore capability.</t>
  </si>
  <si>
    <t>ODFC VHD Size</t>
  </si>
  <si>
    <t>HKLM\SOFTWARE\Policies\FSLogix\ODFC  →  SizeInMBs</t>
  </si>
  <si>
    <t>25600 (25 GB)</t>
  </si>
  <si>
    <t>30000</t>
  </si>
  <si>
    <t>25GB for ODFC to accommodate: Teams cache (up to 8GB), Outlook OST (up to 10GB for active mailboxes), OneDrive sync cache. Monitor usage via Azure Files metrics and adjust per actual data.</t>
  </si>
  <si>
    <t>Include Teams Cache in ODFC</t>
  </si>
  <si>
    <t>HKLM\SOFTWARE\Policies\FSLogix\ODFC  →  IncludeTeams</t>
  </si>
  <si>
    <t>1 (Include Teams in Office Container)</t>
  </si>
  <si>
    <t>0</t>
  </si>
  <si>
    <t>MUST enable. Routes Teams cache (~2-8GB) into the ODFC instead of the main profile VHDX. Without this, Teams data bloats the profile container, causing slow logons and profile growth issues.</t>
  </si>
  <si>
    <t>Include OneDrive (ODFC)</t>
  </si>
  <si>
    <t>HKLM\SOFTWARE\Policies\FSLogix\ODFC  →  IncludeOneDrive</t>
  </si>
  <si>
    <t>Routes OneDrive sync metadata and cache into ODFC. Note: OneDrive KFM (Known Folder Move) should redirect Documents/Desktop/Pictures to SharePoint — this minimizes what's in the profile container entirely.</t>
  </si>
  <si>
    <t xml:space="preserve">  ▸  PROFILE EXCLUSIONS (WHAT TO EXCLUDE)</t>
  </si>
  <si>
    <t>Profile Exclusion List — Temp Files</t>
  </si>
  <si>
    <t>FSLogix Exclusions  →  Redirections.xml or App Masking</t>
  </si>
  <si>
    <t>Exclude: %TEMP%, %TMP%, Windows Update cache, Defender definitions</t>
  </si>
  <si>
    <t>No exclusions</t>
  </si>
  <si>
    <t>Exclude temporary files to keep profile VHDX small and reduce logon time (less data to mount). Add to Redirections.xml: %LOCALAPPDATA%\Temp | %LOCALAPPDATA%\Microsoft\Windows\INetCache | %LOCALAPPDATA%\CrashDumps</t>
  </si>
  <si>
    <t>Profile Exclusion — Browser Cache</t>
  </si>
  <si>
    <t>FSLogix  →  Redirections.xml</t>
  </si>
  <si>
    <t>Exclude: %LOCALAPPDATA%\Microsoft\Edge\User Data\Default\Cache</t>
  </si>
  <si>
    <t>Edge browser cache can reach 100MB-1GB. Exclude from profile — it regenerates on next browsing session. This single exclusion can reduce profile VHDX size by 20-40% for typical office users.</t>
  </si>
  <si>
    <t>Profile Exclusion — Windows Search Index</t>
  </si>
  <si>
    <t>Exclude: %LOCALAPPDATA%\Microsoft\Windows\Caches | Windows Search index</t>
  </si>
  <si>
    <t>Windows Search database is per-session and doesn't need to roam. Excluding it reduces profile size and prevents corruption issues when the same VHDX is mounted on different session hosts sequentially.</t>
  </si>
  <si>
    <t>Profile Exclusion — Adobe/App Temp</t>
  </si>
  <si>
    <t>Exclude: %APPDATA%\Adobe\*\Cache | %LOCALAPPDATA%\Packages\*\TempState</t>
  </si>
  <si>
    <t>Adobe Acrobat and other apps create large cache folders. Exclude application-specific cache directories to prevent profile bloat. Audit your installed apps for cache locations.</t>
  </si>
  <si>
    <t>Redirections.xml — Folder Redirections</t>
  </si>
  <si>
    <t>FSLogix  →  Redirections.xml (JUNCTIONS)</t>
  </si>
  <si>
    <t>Redirect: Downloads, Pictures → local temp (not roaming)</t>
  </si>
  <si>
    <t>No redirections</t>
  </si>
  <si>
    <t>Use Redirections.xml to create folder JUNCTIONS — redirect folders within the profile to local paths (excluded from VHDX). Downloads folder redirect prevents large file downloads bloating the profile.</t>
  </si>
  <si>
    <t xml:space="preserve">  ▸  SECURITY &amp; ACCESS CONTROL</t>
  </si>
  <si>
    <t>Kerberos Authentication (Azure AD Kerberos)</t>
  </si>
  <si>
    <t>Azure Files Storage Account  →  Azure AD Kerberos</t>
  </si>
  <si>
    <t>Enabled — Azure AD Kerberos on storage account</t>
  </si>
  <si>
    <t>REQUIRED for Azure AD-joined (Entra ID) AVD session hosts. Enables Kerberos ticket issuance via Entra ID for Azure Files SMB authentication. Without this, Azure AD-joined VMs cannot mount Azure Files shares.</t>
  </si>
  <si>
    <t>NTFS Permissions on Profile Share</t>
  </si>
  <si>
    <t>Azure Files → NTFS ACLs</t>
  </si>
  <si>
    <t>Creator Owner: Full | Admins: Full | Users: Modify (not Full Control)</t>
  </si>
  <si>
    <t>Storage Blob Data Owner</t>
  </si>
  <si>
    <t>Set NTFS permissions on the profile share: Users get Modify on their own folder only (not other users' VHDXs). Admins get Full Control. This prevents one user from accessing another user's profile VHDX file.</t>
  </si>
  <si>
    <t>Profile Share RBAC</t>
  </si>
  <si>
    <t>Azure RBAC → Storage File Data SMB Share</t>
  </si>
  <si>
    <t>AVD Users Group: Storage File Data SMB Share Contributor</t>
  </si>
  <si>
    <t>Not assigned</t>
  </si>
  <si>
    <t>Assign 'Storage File Data SMB Share Contributor' Azure role to the AVD users Entra ID group at the storage account scope. This grants the right to read/write SMB files. Without this, users see 'access denied' on profile mount.</t>
  </si>
  <si>
    <t>Encryption in Transit</t>
  </si>
  <si>
    <t>Azure Files → Require Secure Transfer</t>
  </si>
  <si>
    <t>Enabled (HTTPS only, SMB 3.x with encryption)</t>
  </si>
  <si>
    <t>Enabled by default</t>
  </si>
  <si>
    <t>Azure Files enforces SMB encryption in transit by default. Verify 'Secure Transfer Required' is ON on the storage account. FSLogix uses SMB 3.x — encrypted channel for all profile VHDX traffic.</t>
  </si>
  <si>
    <t>Soft Delete on File Shares</t>
  </si>
  <si>
    <t>Azure Files → Soft Delete</t>
  </si>
  <si>
    <t>Enabled — 30 day retention</t>
  </si>
  <si>
    <t>Not enabled by default</t>
  </si>
  <si>
    <t>Enable Soft Delete on Azure Files shares. If a profile VHDX is accidentally deleted or corrupted, Soft Delete allows recovery within the retention period. Critical protection for user profile data.</t>
  </si>
  <si>
    <t xml:space="preserve">  ▸  PERFORMANCE &amp; RELIABILITY</t>
  </si>
  <si>
    <t>Concurrent Access — Multi-Session Handling</t>
  </si>
  <si>
    <t>HKLM\SOFTWARE\FSLogix\Profiles  →  ConcurrentUserSessions</t>
  </si>
  <si>
    <t>1 (Allow concurrent sessions for same user)</t>
  </si>
  <si>
    <t>0 (block second login)</t>
  </si>
  <si>
    <t>In pooled multi-session AVD, the same user might log in from two devices simultaneously. Setting 1 allows this by creating a 'merged' view of the profile. Setting 0 blocks the second session — causes issues for retail workers using iPad + thin client concurrently.</t>
  </si>
  <si>
    <t>Pre-Create VHD Directories</t>
  </si>
  <si>
    <t>HKLM\SOFTWARE\FSLogix\Profiles  →  PreCreateComputerObjects</t>
  </si>
  <si>
    <t>0 (not needed with Azure Files Kerberos)</t>
  </si>
  <si>
    <t>For AD-joined (hybrid) deployments, pre-creating computer objects improves first-logon profile creation speed. For Entra ID-only deployments (recommended for BDF), this is not applicable.</t>
  </si>
  <si>
    <t>Profile Container Logging</t>
  </si>
  <si>
    <t>HKLM\SOFTWARE\FSLogix\Logging  →  LogDir</t>
  </si>
  <si>
    <t>C:\ProgramData\FSLogix\Logs — Level 2 (Info+Errors)</t>
  </si>
  <si>
    <t>Level 1 (Errors only)</t>
  </si>
  <si>
    <t>Set FSLogix log level to 2 (Info) during initial deployment for troubleshooting. Reduce to 1 (Errors) in steady-state production to minimize log verbosity. Log path: C:\ProgramData\FSLogix\Logs\Profile*.log</t>
  </si>
  <si>
    <t>Cloud Cache (High Availability option)</t>
  </si>
  <si>
    <t>HKLM\SOFTWARE\FSLogix\Profiles  →  CCDLocations</t>
  </si>
  <si>
    <t>Optional: 2x Azure Files locations across regions for HA</t>
  </si>
  <si>
    <t>Cloud Cache writes profile changes to multiple Azure Files locations simultaneously — provides RPO near-zero for profile data. Only needed if multi-region HA is required. Adds ~10% logon time overhead. Not required for single-region BDF deployment.</t>
  </si>
  <si>
    <t>App Masking (FSLogix App Masking)</t>
  </si>
  <si>
    <t>FSLogix App Masking Rules</t>
  </si>
  <si>
    <t>Use to hide E3-only apps from F1 users on shared images</t>
  </si>
  <si>
    <t>If using a single golden image for both E3 and F1 users, use FSLogix App Masking to hide apps that F1 frontline users shouldn't see (e.g., Office desktop apps). Assign masking rules to Entra ID security groups.</t>
  </si>
  <si>
    <t>Profile Container Health Monitoring</t>
  </si>
  <si>
    <t>Log Analytics → FSLogix custom queries</t>
  </si>
  <si>
    <t>Alert on: VHDX mount failure, profile fallback to local, disk space &gt; 80%</t>
  </si>
  <si>
    <t>No monitoring</t>
  </si>
  <si>
    <t>Monitor FSLogix via Windows Event Log forwarded to Log Analytics. Key events: Event ID 27 (profile loaded successfully), Event ID 33 (profile failed — using local), Event ID 52 (VHDX at capacity). Alert on Event 33 (fallback to local = data loss risk).</t>
  </si>
  <si>
    <t>Golden image update cadence, Azure Update Manager, Intune patching, MSIX App Attach, 3rd-party apps | Retail VDI patching runbook</t>
  </si>
  <si>
    <t>Patch Category</t>
  </si>
  <si>
    <t>Tool / Method</t>
  </si>
  <si>
    <t>Target</t>
  </si>
  <si>
    <t>Frequency / Schedule</t>
  </si>
  <si>
    <t>Responsible Team</t>
  </si>
  <si>
    <t>Process &amp; Notes</t>
  </si>
  <si>
    <t>Rollback Strategy</t>
  </si>
  <si>
    <t xml:space="preserve">  ▸  GOLDEN IMAGE PATCHING — PRIMARY METHOD FOR AVD SESSION HOSTS</t>
  </si>
  <si>
    <t>Windows OS Cumulative Update</t>
  </si>
  <si>
    <t>Azure VM Image Builder + Azure Compute Gallery</t>
  </si>
  <si>
    <t>Windows 11 Ent Multi-Session base image</t>
  </si>
  <si>
    <t>Monthly — 2nd Tuesday (Patch Tuesday + 5 days delay)</t>
  </si>
  <si>
    <t>Infrastructure / Cloud Team</t>
  </si>
  <si>
    <t>PRIMARY METHOD: Update the golden image monthly rather than patching running session hosts. Process: 1) Build new image version from gallery, 2) Apply CUs via Windows Update or WSUS, 3) Capture new image version, 4) Test in staging host pool, 5) Deploy to production via rolling host replacement. Session hosts are ephemeral — rebuild from image.</t>
  </si>
  <si>
    <t>Keep N-1 image version in Compute Gallery. If new image fails, revert host pool to prior version.</t>
  </si>
  <si>
    <t>Microsoft 365 Apps Updates</t>
  </si>
  <si>
    <t>Microsoft 365 Apps Admin Center + Golden Image</t>
  </si>
  <si>
    <t>Office 365 / M365 Apps on session hosts</t>
  </si>
  <si>
    <t>Monthly — Monthly Enterprise Channel (MEC). Update channel baked into image.</t>
  </si>
  <si>
    <t>Cloud Team</t>
  </si>
  <si>
    <t>Configure M365 Apps for Monthly Enterprise Channel. Apply updates in golden image during monthly image refresh cycle. Set update path in image: use Microsoft 365 Apps Admin Center to set servicing profile. Avoid auto-update during user sessions — disruptive.</t>
  </si>
  <si>
    <t>M365 Apps supports rollback via: Set-MicrosoftAppActivation -Channel CurrentChannel-Preview or via image rollback.</t>
  </si>
  <si>
    <t>Microsoft Edge (Chromium) Updates</t>
  </si>
  <si>
    <t>Intune + Edge Admin Center or Golden Image</t>
  </si>
  <si>
    <t>Edge on all session hosts</t>
  </si>
  <si>
    <t>Bi-weekly (Edge releases bi-weekly). Auto-update via policy OR bake into monthly image.</t>
  </si>
  <si>
    <t>For AVD session hosts, bake Edge version into golden image. Optionally enable in-session auto-update via Edge Update Policy (EdgeUpdate.exe) — less disruptive than OS-level updates. Set: Update/UpdateDefault = 1 (always update) via Intune Edge policy.</t>
  </si>
  <si>
    <t>Edge supports rollback to prior version via enterprise MSI deployment. Intune can redeploy prior version.</t>
  </si>
  <si>
    <t xml:space="preserve">  ▸  AZURE UPDATE MANAGER — SUPPLEMENTAL PATCHING FOR PERSISTENT COMPONENTS</t>
  </si>
  <si>
    <t>Azure Update Manager — Session Host Emergency Patches</t>
  </si>
  <si>
    <t>Azure Update Manager (AUM)</t>
  </si>
  <si>
    <t>Session host VMs (for critical out-of-band patches only)</t>
  </si>
  <si>
    <t>On-demand for Critical/Zero-Day patches between monthly image cycles</t>
  </si>
  <si>
    <t>Use Azure Update Manager for EMERGENCY critical patches (CVSS 9+) between image refresh cycles. Enable on session host VMs in AUM. Schedule maintenance window during off-peak hours (2 AM - 4 AM). Use Drain Mode before patching, re-enable after.</t>
  </si>
  <si>
    <t>AUM tracks patch status. If patch causes issues: Stop-AzVMExtension or restore VM from backup snapshot.</t>
  </si>
  <si>
    <t>Azure Update Manager — Management VMs</t>
  </si>
  <si>
    <t>Azure Update Manager</t>
  </si>
  <si>
    <t>Azure Bastion host, Automation workers (if any management VMs exist)</t>
  </si>
  <si>
    <t>Monthly — auto-patching schedule. Maintenance window: 1st Sunday 2 AM.</t>
  </si>
  <si>
    <t>Any management VMs (Bastion, jump boxes) should be patched monthly via AUM automated schedules. These are not session hosts so can be patched in-place. Use maintenance configurations for scheduling.</t>
  </si>
  <si>
    <t>VM snapshot before maintenance. AUM provides update assessment reports.</t>
  </si>
  <si>
    <t xml:space="preserve">  ▸  THIRD-PARTY APPLICATION PATCHING</t>
  </si>
  <si>
    <t>Zscaler Client Connector (ZCC)</t>
  </si>
  <si>
    <t>Golden Image + ZCC Auto-Upgrade</t>
  </si>
  <si>
    <t>ZCC agent on all session host VMs</t>
  </si>
  <si>
    <t>Monthly (via golden image rebuild) + ZCC auto-upgrade enabled</t>
  </si>
  <si>
    <t>Network / Security Team</t>
  </si>
  <si>
    <t>Configure ZCC with Auto-Upgrade enabled — ZCC can self-update without requiring a full image rebuild. Verify auto-upgrade policy in ZIA Admin Portal: Connector Management &gt; Auto-Upgrade = Enabled. Monitor ZCC version in Zscaler portal dashboard.</t>
  </si>
  <si>
    <t>ZCC rollback: Deploy prior MSI version via Intune or image rebuild. Zscaler maintains prior version downloads.</t>
  </si>
  <si>
    <t>Microsoft Defender for Endpoint (MDE)</t>
  </si>
  <si>
    <t>Defender Auto-Update + Golden Image</t>
  </si>
  <si>
    <t>MDE agent + signature updates on session hosts</t>
  </si>
  <si>
    <t>Signature updates: Automatic (daily/continuous) | Engine updates: via golden image monthly</t>
  </si>
  <si>
    <t>Security Team</t>
  </si>
  <si>
    <t>MDE signature updates must occur automatically — do not block. Configure MDE update settings in Intune Security Baseline or Microsoft Defender portal. Engine updates come via Windows Update (included in OS CU). Never delay signature updates — retail environments are malware targets.</t>
  </si>
  <si>
    <t>MDE does not require rollback typically. If engine update causes conflict: exclusion policies via Intune.</t>
  </si>
  <si>
    <t>FSLogix Agent</t>
  </si>
  <si>
    <t>Golden Image</t>
  </si>
  <si>
    <t>FSLogix.exe agent on session hosts</t>
  </si>
  <si>
    <t>Quarterly or when new FSLogix version released (currently ~2x/year)</t>
  </si>
  <si>
    <t>Download latest FSLogix from Microsoft. Test new version in staging host pool with representative users for 1 week. If stable, include in next monthly image rebuild. FSLogix updates rarely require emergency deployment.</t>
  </si>
  <si>
    <t>Image rollback to previous version. Compute Gallery retains N-2 image versions.</t>
  </si>
  <si>
    <t>AVD Agent &amp; Bootloader</t>
  </si>
  <si>
    <t>Automatic (Microsoft managed)</t>
  </si>
  <si>
    <t>AVD RDAgent and Bootloader on session hosts</t>
  </si>
  <si>
    <t>Automatic — Microsoft pushes agent updates during low-utilization periods</t>
  </si>
  <si>
    <t>Microsoft (auto)</t>
  </si>
  <si>
    <t>AVD agents update automatically — do NOT block this. Blocking AVD agent updates causes session host health check failures. Monitor agent version in AVD portal: Host Pool → Session Hosts → Agent Version column. Alert if agent version falls behind by &gt;2 releases.</t>
  </si>
  <si>
    <t>If agent update fails: Re-run Add-SessionHost process or re-image session host from golden image.</t>
  </si>
  <si>
    <t>SAP Browser (Edge + SAP Bookmarks/Policy)</t>
  </si>
  <si>
    <t>Intune + Edge Policy</t>
  </si>
  <si>
    <t>SAP URL shortcuts, Edge enterprise policies for SAP</t>
  </si>
  <si>
    <t>As needed when SAP URL or cert changes</t>
  </si>
  <si>
    <t>App Team</t>
  </si>
  <si>
    <t>SAP browser apps run in Edge. The 'app' is just a URL. When SAP URL, certificates, or authentication changes, update the Edge enterprise policy (AppID/StartupURL) in Intune and redeploy. This does NOT require a full image rebuild — Intune policy update suffices.</t>
  </si>
  <si>
    <t>Revert Intune policy to prior version. Keep policy change history in Azure DevOps / Git.</t>
  </si>
  <si>
    <t xml:space="preserve">  ▸  INTUNE-MANAGED APP PATCHING</t>
  </si>
  <si>
    <t>Intune Win32 App Patching (LOB Apps)</t>
  </si>
  <si>
    <t>Microsoft Intune — Required deployment</t>
  </si>
  <si>
    <t>Line-of-business apps deployed to session hosts</t>
  </si>
  <si>
    <t>Monthly or as vendor releases patches</t>
  </si>
  <si>
    <t>Cloud / App Team</t>
  </si>
  <si>
    <t>Deploy LOB application updates via Intune Win32 App deployment to session host VMs (or bake into image). Use Supersedence rules in Intune so new version automatically replaces old version. Target session hosts via AAD device group.</t>
  </si>
  <si>
    <t>Intune deployment history allows rollback. Create prior version as superseded app and reassign.</t>
  </si>
  <si>
    <t>Microsoft 365 Apps Servicing Profile</t>
  </si>
  <si>
    <t>M365 Apps Admin Center</t>
  </si>
  <si>
    <t>Microsoft 365 Apps (Word, Excel, Outlook, Teams)</t>
  </si>
  <si>
    <t>Monthly Enterprise Channel — updates released 2nd Tuesday + 14 days</t>
  </si>
  <si>
    <t>Use M365 Apps Admin Center Servicing Profile to control update timing, rollout waves, and exclusion windows. Set exclusion date during BDF peak retail periods (Black Friday, Holidays). Monitor update health dashboard.</t>
  </si>
  <si>
    <t>M365 Apps supports channel rollback via PowerShell or Admin Center.</t>
  </si>
  <si>
    <t xml:space="preserve">  ▸  PATCH TESTING &amp; VALIDATION PROCESS</t>
  </si>
  <si>
    <t>Staging Host Pool — Patch Validation</t>
  </si>
  <si>
    <t>Azure AVD — Staging Host Pool</t>
  </si>
  <si>
    <t>Dedicated 2-VM staging pool for patch testing before production</t>
  </si>
  <si>
    <t>Monthly — validate all patches before production deployment</t>
  </si>
  <si>
    <t>Maintain a small (2 VM) staging host pool that mirrors production configuration. Deploy new golden image version to staging first. Have 3-5 volunteer IT users test for 2-3 days. Check: SAP apps, Office, Teams, logon time, FSLogix mount. Only proceed to production after sign-off.</t>
  </si>
  <si>
    <t>Staging is isolated — no impact to production. Abort staging image, revert to prior gallery version.</t>
  </si>
  <si>
    <t>Patch Tuesday + 5-Day Delay Rule</t>
  </si>
  <si>
    <t>Windows Update for Business / AUM</t>
  </si>
  <si>
    <t>All Windows OS patches</t>
  </si>
  <si>
    <t>Apply patches 5 business days after Patch Tuesday (Quality Update Deferral)</t>
  </si>
  <si>
    <t>Never apply patches on Patch Tuesday itself. Microsoft often releases out-of-band fixes for regressions in the first few days. 5-day deferral catches major issues. Configure via Windows Update for Business deferral policy in Intune.</t>
  </si>
  <si>
    <t>Deferral itself is the rollback prevention strategy — you don't deploy until patches are known stable.</t>
  </si>
  <si>
    <t>Retail Blackout Windows (No Patching)</t>
  </si>
  <si>
    <t>Change Management</t>
  </si>
  <si>
    <t>All production AVD session hosts</t>
  </si>
  <si>
    <t>Nov 1 – Jan 5 (holiday season), July 4th week, Labor Day weekend</t>
  </si>
  <si>
    <t>IT Management + Cloud Team</t>
  </si>
  <si>
    <t>Do NOT deploy any non-emergency patches during retail peak periods. Freeze the golden image. Emergency security patches (CVSS 9+/Critical) may bypass freeze with CISO approval. Document freeze windows in Azure Update Manager maintenance exclusion windows.</t>
  </si>
  <si>
    <t>N/A — no patching during freeze. Emergency-only exceptions require dual approval.</t>
  </si>
  <si>
    <t>Post-Patch Validation Checklist</t>
  </si>
  <si>
    <t>Manual + Automated</t>
  </si>
  <si>
    <t>All session hosts after each patch cycle</t>
  </si>
  <si>
    <t>After every patch deployment</t>
  </si>
  <si>
    <t>Post-patch validation: 1) All session hosts in Available state (not Unavailable), 2) AVD health checks all green, 3) FSLogix profile mounts successfully (test login), 4) SAP app launches correctly, 5) Teams audio/video functional, 6) Zscaler connected, 7) Logon time &lt; 30 sec. Document results.</t>
  </si>
  <si>
    <t>If validation fails: Drain affected hosts, deploy prior golden image version, re-validate.</t>
  </si>
  <si>
    <t xml:space="preserve">  ▸  TANIUM PLATFORM — THIRD-PARTY ENDPOINT MANAGEMENT FOR AVD SESSION HOSTS</t>
  </si>
  <si>
    <t>Tanium Agent — Golden Image Deployment</t>
  </si>
  <si>
    <t>Tanium Client (Agent) on Golden Image</t>
  </si>
  <si>
    <t>All AVD session host VMs (E3 + F1)</t>
  </si>
  <si>
    <t>Baked into golden image — auto-registers on first boot</t>
  </si>
  <si>
    <t>Cloud Team + Tanium Admin</t>
  </si>
  <si>
    <t>Install Tanium Client on the golden image BEFORE capture. Use silent install: TaniumClient.exe /S /serverName=tanium.bdf.internal /serverPort=17472. On first VM boot, agent auto-registers with Tanium server. For EPHEMERAL/non-persistent AVD: configure Tanium to NOT flag re-registered endpoints as duplicates. Set DirectConnect=1 for cloud VMs.</t>
  </si>
  <si>
    <t>Image rollback removes Tanium agent automatically. Redeploy agent via Intune if needed.</t>
  </si>
  <si>
    <t>Tanium Patch — OS Patch Management</t>
  </si>
  <si>
    <t>Tanium Patch module</t>
  </si>
  <si>
    <t>All AVD session host VMs</t>
  </si>
  <si>
    <t>Monthly — aligned with BDF golden image refresh cycle. Emergency patches: immediate via Tanium scan + deploy.</t>
  </si>
  <si>
    <t>Use Tanium Patch for VISIBILITY and EMERGENCY patching between image cycles. Workflow: 1) Scan all session hosts for missing patches (Tanium Patch Assessment), 2) For Critical/High CVE: deploy patch via Tanium Patch to live session hosts in Drain Mode, 3) Monthly: include patches in golden image rebuild. Tanium provides real-time patch compliance dashboard across all 25 session hosts.</t>
  </si>
  <si>
    <t>Tanium Patch supports rollback deployment for select Windows patches. For catastrophic failures: redeploy from golden image N-1.</t>
  </si>
  <si>
    <t>Tanium Enforce — Endpoint Policy Enforcement</t>
  </si>
  <si>
    <t>Tanium Enforce (formerly Protect)</t>
  </si>
  <si>
    <t>Continuous — policies enforced in real-time</t>
  </si>
  <si>
    <t>Security Team + Tanium Admin</t>
  </si>
  <si>
    <t>Tanium Enforce applies security configuration baselines to AVD session hosts: CIS benchmarks, firewall rules, registry hardening, application control. Detects and auto-remediates configuration drift (e.g., if a user somehow changes a firewall rule, Tanium re-applies the baseline within minutes).</t>
  </si>
  <si>
    <t>Policy rollback via Tanium Enforce — revert to previous policy version in Tanium console.</t>
  </si>
  <si>
    <t>Tanium Threat Response — EDR on Session Hosts</t>
  </si>
  <si>
    <t>Tanium Threat Response (EDR/XDR)</t>
  </si>
  <si>
    <t>Continuous real-time monitoring + retrospective threat hunting</t>
  </si>
  <si>
    <t>Tanium Threat Response provides EDR capability on AVD session hosts. NOTE: Evaluate overlap with Microsoft Defender for Endpoint (included in E3/F1). Options: a) Use MDE only (simpler, no extra cost), b) Use Tanium Threat Response alongside MDE (deeper control, existing Tanium investment), c) Replace MDE with Tanium (not recommended — lose Microsoft integration). Recommended: keep MDE + use Tanium Threat Response for threat hunting and incident response.</t>
  </si>
  <si>
    <t>Isolate compromised session host via Tanium Threat Response quarantine. Drain host, capture forensic image, redeploy from golden image.</t>
  </si>
  <si>
    <t>Tanium Comply — Compliance Assessment</t>
  </si>
  <si>
    <t>Tanium Comply (SCAP/CIS)</t>
  </si>
  <si>
    <t>Daily compliance scan + weekly report</t>
  </si>
  <si>
    <t>Security Team + Compliance</t>
  </si>
  <si>
    <t>Run CIS Benchmark Level 1 or 2 assessments against all AVD session hosts daily. Tanium Comply generates per-host compliance scores and identifies failed controls. Export to SIEM or compliance dashboard. For retail PCI-DSS: run PCI-DSS SCAP content against in-scope session hosts. Alert if compliance score drops below 80%.</t>
  </si>
  <si>
    <t>Remediate failed controls via Tanium Enforce policy. Document exceptions in Tanium Comply.</t>
  </si>
  <si>
    <t>Tanium Deploy — Software Distribution to Session Hosts</t>
  </si>
  <si>
    <t>Tanium Deploy</t>
  </si>
  <si>
    <t>AVD session hosts (for emergency out-of-band software updates)</t>
  </si>
  <si>
    <t>On-demand — for emergency software deployments between image cycles</t>
  </si>
  <si>
    <t>Use Tanium Deploy for EMERGENCY software updates that cannot wait for the next monthly image refresh. Example: urgent Zscaler Client Connector update, critical 3rd-party app patch. Target specific session hosts by Tanium group. Schedule during off-peak (2 AM - 4 AM) with Drain Mode pre-applied.</t>
  </si>
  <si>
    <t>Tanium Deploy package versioning allows rollback to prior software version.</t>
  </si>
  <si>
    <t>Tanium — Ephemeral VM Handling (Non-Persistent AVD)</t>
  </si>
  <si>
    <t>Tanium Server Configuration</t>
  </si>
  <si>
    <t>Tanium Server + all AVD session hosts</t>
  </si>
  <si>
    <t>Configuration: one-time + maintain as VMs scale in/out</t>
  </si>
  <si>
    <t>CRITICAL CONSIDERATION for pooled AVD: New session hosts spin up from golden image constantly (Auto-Scaling). Configure Tanium Server to: 1) Set DirectConnect=1 in tanium-init.dat for cloud VMs (bypasses need for Tanium Zone Server), 2) Enable auto-registration in Tanium console, 3) Set short deregistration timer (24-48hrs) so deprovisioned VMs auto-remove from Tanium inventory, 4) Use Tanium Computer Groups by tag (e.g., tag:AVDHostPool-E3) for automated targeting.</t>
  </si>
  <si>
    <t>N/A — configuration only. No rollback needed for inventory management settings.</t>
  </si>
  <si>
    <t>Tanium — Integration with Azure Monitor / SIEM</t>
  </si>
  <si>
    <t>Tanium Connect + Log Analytics / Splunk</t>
  </si>
  <si>
    <t>Tanium Connect output → Log Analytics or Splunk</t>
  </si>
  <si>
    <t>Continuous streaming</t>
  </si>
  <si>
    <t>Security / Cloud Team</t>
  </si>
  <si>
    <t>Use Tanium Connect to stream Tanium data (patch status, compliance scores, threat events, process activity) to Azure Log Analytics Workspace or Splunk. Enables correlation of Tanium endpoint data with AVD session events. Create unified dashboard: AVD session health + Tanium patch compliance + Tanium threat events in single pane.</t>
  </si>
  <si>
    <t>N/A — monitoring integration. Disable Tanium Connect if causing log volume issues.</t>
  </si>
  <si>
    <t>Environment</t>
  </si>
  <si>
    <t>Component</t>
  </si>
  <si>
    <t>Azure Resource / SKU</t>
  </si>
  <si>
    <t>Unit</t>
  </si>
  <si>
    <t>Qty</t>
  </si>
  <si>
    <t>Unit Cost ($/mo)</t>
  </si>
  <si>
    <t>Monthly Cost</t>
  </si>
  <si>
    <t>Annual Cost</t>
  </si>
  <si>
    <t>1-Yr Reserved?</t>
  </si>
  <si>
    <t>Notes</t>
  </si>
  <si>
    <t>Status</t>
  </si>
  <si>
    <t xml:space="preserve">  ▸  POC Environment</t>
  </si>
  <si>
    <t>POC Environment</t>
  </si>
  <si>
    <t>Session Hosts — E3 Office</t>
  </si>
  <si>
    <t>Standard_D4ds_v5</t>
  </si>
  <si>
    <t>VM/mo</t>
  </si>
  <si>
    <t>No (PAYG)</t>
  </si>
  <si>
    <t>POC sizing — 3 VMs for testing</t>
  </si>
  <si>
    <t>Active</t>
  </si>
  <si>
    <t>Session Hosts — F1 Frontline</t>
  </si>
  <si>
    <t>Standard_D8ds_v5</t>
  </si>
  <si>
    <t>POC sizing — 2 VMs for frontline test</t>
  </si>
  <si>
    <t>OS Disks</t>
  </si>
  <si>
    <t>Premium SSD P10 (128GB)</t>
  </si>
  <si>
    <t>Disk/mo</t>
  </si>
  <si>
    <t>1 disk per VM</t>
  </si>
  <si>
    <t>Azure Files Premium — Profiles</t>
  </si>
  <si>
    <t>Premium FileStorage</t>
  </si>
  <si>
    <t>GB provisioned</t>
  </si>
  <si>
    <t>100GB for POC test profiles</t>
  </si>
  <si>
    <t>Log Analytics (POC)</t>
  </si>
  <si>
    <t>Log Analytics Workspace</t>
  </si>
  <si>
    <t>GB ingested/mo</t>
  </si>
  <si>
    <t>Minimal logging for POC</t>
  </si>
  <si>
    <t>Azure Bastion</t>
  </si>
  <si>
    <t>Standard Tier</t>
  </si>
  <si>
    <t>Instance/mo</t>
  </si>
  <si>
    <t>Secure admin access to POC VMs</t>
  </si>
  <si>
    <t xml:space="preserve">  ▸  PROD — E3 Office Workers</t>
  </si>
  <si>
    <t>PROD — E3 Office Workers</t>
  </si>
  <si>
    <t>Session Hosts — E3 Pooled</t>
  </si>
  <si>
    <t>Yes (1-yr)</t>
  </si>
  <si>
    <t>15x VMs, 1-yr reserved. ~50 concurrent users, 8 sessions/VM</t>
  </si>
  <si>
    <t>OS Disks — E3 Hosts</t>
  </si>
  <si>
    <t>1 per session host</t>
  </si>
  <si>
    <t>Azure Files — E3 Profiles</t>
  </si>
  <si>
    <t>Premium FileStorage (ZRS)</t>
  </si>
  <si>
    <t>200 users x 10GB profile VHDX = 2TB provisioned</t>
  </si>
  <si>
    <t>Azure Files — ODFC (Office Container)</t>
  </si>
  <si>
    <t>200 users x ~10GB ODFC (Teams + Outlook cache)</t>
  </si>
  <si>
    <t>Private Endpoint — E3 Files</t>
  </si>
  <si>
    <t>Private Endpoint</t>
  </si>
  <si>
    <t>Endpoint/mo</t>
  </si>
  <si>
    <t>Private endpoint for profiles + ODFC shares</t>
  </si>
  <si>
    <t xml:space="preserve">  ▸  PROD — F1 Frontline Workers</t>
  </si>
  <si>
    <t>PROD — F1 Frontline Workers</t>
  </si>
  <si>
    <t>Session Hosts — F1 Pooled</t>
  </si>
  <si>
    <t>10x VMs, 1-yr reserved. ~80 concurrent, 12 sessions/VM</t>
  </si>
  <si>
    <t>OS Disks — F1 Hosts</t>
  </si>
  <si>
    <t>Azure Files — F1 Profiles</t>
  </si>
  <si>
    <t>800 users x 2GB = 1.6TB provisioned</t>
  </si>
  <si>
    <t>Private Endpoint — F1 Files</t>
  </si>
  <si>
    <t>Private endpoint for F1 profiles share</t>
  </si>
  <si>
    <t xml:space="preserve">  ▸  PROD — Shared Infrastructure</t>
  </si>
  <si>
    <t>PROD — Shared Infrastructure</t>
  </si>
  <si>
    <t>Azure Virtual Network</t>
  </si>
  <si>
    <t>Hub VNet (East US)</t>
  </si>
  <si>
    <t>VNet/mo</t>
  </si>
  <si>
    <t>N/A</t>
  </si>
  <si>
    <t>VNet itself is free; peering costs if multi-region added later</t>
  </si>
  <si>
    <t>Secure RDP/SSH admin — no public IPs on session hosts</t>
  </si>
  <si>
    <t>Log Analytics (Pay-per-GB)</t>
  </si>
  <si>
    <t>AVD Insights, session events, FSLogix logs, Defender data</t>
  </si>
  <si>
    <t>Azure Monitor Alerts</t>
  </si>
  <si>
    <t>Standard Alert Rules</t>
  </si>
  <si>
    <t>Alert rule/mo</t>
  </si>
  <si>
    <t>CPU, memory, FSLogix failure, session count alerts</t>
  </si>
  <si>
    <t>Azure Automation (Scaling)</t>
  </si>
  <si>
    <t>Automation Account</t>
  </si>
  <si>
    <t>Account/mo</t>
  </si>
  <si>
    <t>Scaling runbooks, auto-heal scripts</t>
  </si>
  <si>
    <t>Key Vault</t>
  </si>
  <si>
    <t>Vault/mo</t>
  </si>
  <si>
    <t>Secrets, disk encryption keys, certificates</t>
  </si>
  <si>
    <t>Recovery Services (Backup)</t>
  </si>
  <si>
    <t>RSV — Standard LRS</t>
  </si>
  <si>
    <t>GB protected/mo</t>
  </si>
  <si>
    <t>Azure Files backup — 5TB x $0.03/GB</t>
  </si>
  <si>
    <t>Azure Compute Gallery</t>
  </si>
  <si>
    <t>Image Gallery</t>
  </si>
  <si>
    <t>GB stored/mo</t>
  </si>
  <si>
    <t>Golden image versions (E3 + F1, N and N-1 versions)</t>
  </si>
  <si>
    <t>Storage Account (Scripts/Artifacts)</t>
  </si>
  <si>
    <t>Standard LRS</t>
  </si>
  <si>
    <t>GB/mo</t>
  </si>
  <si>
    <t>AVD deployment scripts, DSC configs, install packages</t>
  </si>
  <si>
    <t>Outbound Data Transfer</t>
  </si>
  <si>
    <t>Egress (Internet)</t>
  </si>
  <si>
    <t>Estimated 10TB/mo session egress. May decrease with Zscaler tunnel optimization.</t>
  </si>
  <si>
    <t xml:space="preserve">  ▸  PROD — Security</t>
  </si>
  <si>
    <t>PROD — Security</t>
  </si>
  <si>
    <t>Microsoft Defender for Servers P2</t>
  </si>
  <si>
    <t>Defender for Cloud — Plan 2</t>
  </si>
  <si>
    <t>All 25 production session hosts. Includes endpoint detection, JIT, file integrity.</t>
  </si>
  <si>
    <t>Entra ID P1 (included in E3/F1)</t>
  </si>
  <si>
    <t>Azure AD P1</t>
  </si>
  <si>
    <t>User/mo</t>
  </si>
  <si>
    <t>INCLUDED in M365 E3 and F1 — no additional cost</t>
  </si>
  <si>
    <t>Included</t>
  </si>
  <si>
    <t>Microsoft Intune (E3 users)</t>
  </si>
  <si>
    <t>Intune</t>
  </si>
  <si>
    <t>INCLUDED in M365 E3 — no additional cost for iPad/device management</t>
  </si>
  <si>
    <t>Intune Add-On for F1 Frontline</t>
  </si>
  <si>
    <t>Intune Add-On</t>
  </si>
  <si>
    <t>Review</t>
  </si>
  <si>
    <t>NOTE: Review if F1 users need full Intune (MDM). If iPads are Entra registered only, may not need Intune license add-on.</t>
  </si>
  <si>
    <t>Review Needed</t>
  </si>
  <si>
    <t xml:space="preserve">  ▸  ONE-TIME MIGRATION COSTS</t>
  </si>
  <si>
    <t>ONE-TIME MIGRATION COSTS</t>
  </si>
  <si>
    <t>Architecture Design &amp; Landing Zone</t>
  </si>
  <si>
    <t>Professional Services</t>
  </si>
  <si>
    <t>Project</t>
  </si>
  <si>
    <t>One-time: AVD architecture design, Hub/Spoke VNet, naming convention</t>
  </si>
  <si>
    <t>One-Time</t>
  </si>
  <si>
    <t>Host Pool Build (E3 + F1)</t>
  </si>
  <si>
    <t>One-time: Both host pools, golden images, workspace setup</t>
  </si>
  <si>
    <t>FSLogix &amp; Azure Files Setup</t>
  </si>
  <si>
    <t>One-time: Azure Files, Kerberos, NTFS perms, FSLogix policies</t>
  </si>
  <si>
    <t>Profile Migration (Citrix to FSLogix)</t>
  </si>
  <si>
    <t>One-time: Migrate UPM/CPM profiles to FSLogix VHDX format</t>
  </si>
  <si>
    <t>SAP App Publishing &amp; SSO</t>
  </si>
  <si>
    <t>One-time: RemoteApp setup, SAML, multi-device testing</t>
  </si>
  <si>
    <t>Zscaler AVD Reconfiguration</t>
  </si>
  <si>
    <t>One-time: Split tunnel, ZPA for SAP, policy updates</t>
  </si>
  <si>
    <t>Conditional Access &amp; Intune Setup</t>
  </si>
  <si>
    <t>One-time: CA policies, iPad enrollment, compliance policies</t>
  </si>
  <si>
    <t>iPad &amp; Thin Client Enrollment</t>
  </si>
  <si>
    <t>One-time: Intune/ABM enrollment, RD Client deployment, testing</t>
  </si>
  <si>
    <t>Application Compatibility Testing</t>
  </si>
  <si>
    <t>Internal IT + PS</t>
  </si>
  <si>
    <t>One-time: Test all LOB apps on Windows 11 multi-session</t>
  </si>
  <si>
    <t>Project Management</t>
  </si>
  <si>
    <t>PM (3 months)</t>
  </si>
  <si>
    <t>One-time: 3-month PM engagement</t>
  </si>
  <si>
    <t>Training &amp; Documentation</t>
  </si>
  <si>
    <t>Internal</t>
  </si>
  <si>
    <t>One-time: End-user training, IT runbooks, quick-start guides</t>
  </si>
  <si>
    <t>UAT &amp; Pilot</t>
  </si>
  <si>
    <t>Internal IT</t>
  </si>
  <si>
    <t>One-time: 25-user pilot, feedback, tuning</t>
  </si>
  <si>
    <t>Citrix Decommission</t>
  </si>
  <si>
    <t>Internal + PS</t>
  </si>
  <si>
    <t>One-time: License termination, infra cleanup, final cutover</t>
  </si>
  <si>
    <t xml:space="preserve">  📊  COST SUMMARY</t>
  </si>
  <si>
    <t>POC Monthly Azure Cost</t>
  </si>
  <si>
    <t>Production Monthly Azure Cost (Recurring)</t>
  </si>
  <si>
    <t>Production Annual Azure Cost</t>
  </si>
  <si>
    <t>One-Time Migration Investment</t>
  </si>
  <si>
    <t>Estimated Annual Citrix Cost (Current)</t>
  </si>
  <si>
    <t>Estimated Annual AVD Savings vs Citrix</t>
  </si>
  <si>
    <t>Top 30 security configurations across Entra ID, Conditional Access, NSG, Defender, Zscaler, Session Host Hardening | Zero Trust Framework</t>
  </si>
  <si>
    <t>Security Control</t>
  </si>
  <si>
    <t>Area / Framework</t>
  </si>
  <si>
    <t>Recommended Configuration</t>
  </si>
  <si>
    <t>Zero Trust Pillar</t>
  </si>
  <si>
    <t>Implementation Method</t>
  </si>
  <si>
    <t>Current Status</t>
  </si>
  <si>
    <t>Details &amp; Rationale</t>
  </si>
  <si>
    <t xml:space="preserve">  ▸  IDENTITY &amp; ACCESS MANAGEMENT (ENTRA ID)</t>
  </si>
  <si>
    <t>Multi-Factor Authentication (MFA)</t>
  </si>
  <si>
    <t>Entra ID — Identity</t>
  </si>
  <si>
    <t>Require MFA for ALL users connecting to AVD. Use Microsoft Authenticator app. Exclude from MFA fatigue: configure number matching + additional context.</t>
  </si>
  <si>
    <t>Identity</t>
  </si>
  <si>
    <t>Entra ID Conditional Access Policy</t>
  </si>
  <si>
    <t>⚠️ Configure Required</t>
  </si>
  <si>
    <t>Create CA policy: Cloud App = Windows Virtual Desktop → Require MFA. Apply to all users including E3 and F1. Test with 5 pilot users before broad rollout. F1 users on iPads: Authenticator app on the same device works via push notification.</t>
  </si>
  <si>
    <t>Conditional Access — Compliant Device</t>
  </si>
  <si>
    <t>Entra ID — Conditional Access</t>
  </si>
  <si>
    <t>Require Intune-compliant device for E3 office worker sessions. For F1 iPads and thin clients: consider registered (not compliant) to avoid blocking store workers.</t>
  </si>
  <si>
    <t>Device</t>
  </si>
  <si>
    <t>Conditional Access + Intune</t>
  </si>
  <si>
    <t>⚙️ Setup Needed</t>
  </si>
  <si>
    <t>Create separate CA policies for E3 (require compliant device) and F1 (require registered device or known network). Blocking non-compliant devices from F1 frontline could cause store outages if device compliance lapses. Test carefully.</t>
  </si>
  <si>
    <t>Conditional Access — Named Locations</t>
  </si>
  <si>
    <t>Define trusted locations: BDF corporate IP ranges, store IP ranges. Apply to AVD access policy.</t>
  </si>
  <si>
    <t>Network</t>
  </si>
  <si>
    <t>Add BDF corporate internet IP ranges and store network IPs as named locations. CA policy can then require MFA ONLY from unknown locations (less friction for store workers on known networks) while enforcing MFA from any location for sensitive E3 users.</t>
  </si>
  <si>
    <t>Privileged Identity Management (PIM)</t>
  </si>
  <si>
    <t>Entra ID P2 — Identity</t>
  </si>
  <si>
    <t>Require JIT activation for AVD Admin roles (Desktop Virtualization Contributor, Storage Blob Owner). No standing admin access.</t>
  </si>
  <si>
    <t>Entra ID PIM (requires P2 license)</t>
  </si>
  <si>
    <t>NOTE: PIM requires Entra ID P2 (not included in E3 — requires Entra ID P2 add-on or Microsoft 365 E5). For BDF, consider PIM for at least AVD Admins and Azure Subscription Contributors. Alternatively, enforce JIT access via Azure Bastion + VM Connect policy.</t>
  </si>
  <si>
    <t>SSO &amp; Modern Authentication</t>
  </si>
  <si>
    <t>Enforce Modern Authentication (OAuth/OIDC) for all AVD connections. Disable legacy auth (Basic Auth, NTLM standalone) via CA policy.</t>
  </si>
  <si>
    <t>Conditional Access — Block Legacy Auth</t>
  </si>
  <si>
    <t>CA policy: Block all legacy authentication protocols. Legacy auth bypasses MFA — this is a top attack vector. Apply to all cloud apps. Exception: legacy systems must be migrated before blocking. Verify no printers or old apps use Basic Auth.</t>
  </si>
  <si>
    <t>Break Glass Accounts</t>
  </si>
  <si>
    <t>Entra ID — Emergency</t>
  </si>
  <si>
    <t>Create 2 break-glass emergency admin accounts. Exclude from all CA policies. Store credentials in physical vault. Monitor usage via Log Analytics alert.</t>
  </si>
  <si>
    <t>Entra ID Admin Center</t>
  </si>
  <si>
    <t>Critical: If CA policies lock out all admins (misconfiguration), break-glass accounts allow recovery. Accounts should be cloud-only (not synced), no MFA (exclusion), strong 128-char password. Alert immediately on any sign-in by these accounts.</t>
  </si>
  <si>
    <t xml:space="preserve">  ▸  CONDITIONAL ACCESS &amp; SESSION CONTROLS</t>
  </si>
  <si>
    <t>AVD Session Controls — App Control</t>
  </si>
  <si>
    <t>Entra ID — CA Session Controls</t>
  </si>
  <si>
    <t>Enable Microsoft Defender for Cloud App (MDCA) session controls on AVD. Apply to SAP and sensitive app access.</t>
  </si>
  <si>
    <t>Application</t>
  </si>
  <si>
    <t>CA Session Controls + MDCA</t>
  </si>
  <si>
    <t>CA Session Controls with MDCA enables: block download of sensitive data from AVD sessions, enforce session timeout, log all activity. For SAP sessions specifically, apply 'Block Download' to prevent exporting SAP reports to local device (thin client/iPad).</t>
  </si>
  <si>
    <t>Sign-In Risk Policy</t>
  </si>
  <si>
    <t>Entra ID Identity Protection</t>
  </si>
  <si>
    <t>Block High-risk sign-ins to AVD. Require MFA for Medium-risk. Requires Entra ID P2.</t>
  </si>
  <si>
    <t>Identity Protection detects anomalous logins (impossible travel, leaked credentials, unfamiliar location). High-risk = block. Medium-risk = require MFA step-up. Low-risk = allow. Entra ID P2 required — evaluate if the risk reduction justifies the license cost (add-on to E3).</t>
  </si>
  <si>
    <t xml:space="preserve">  ▸  NETWORK SECURITY (NSG, FIREWALL, ZSCALER)</t>
  </si>
  <si>
    <t>Network Security Group — Session Hosts</t>
  </si>
  <si>
    <t>Azure NSG — Network</t>
  </si>
  <si>
    <t>NSG on AVD subnet: Allow inbound RDP only from AVD control plane service tag (WindowsVirtualDesktop). Block all other inbound. Restrict outbound to required FQDNs.</t>
  </si>
  <si>
    <t>Azure NSG on AVD subnet</t>
  </si>
  <si>
    <t>NSG rules: Inbound: Allow TCP 443/80 from WindowsVirtualDesktop service tag. Block all other inbound (no direct RDP from internet — all traffic goes through AVD reverse connect). Outbound: Allow to AzureCloud, Storage, AzureActiveDirectory service tags. Block internet except via Zscaler.</t>
  </si>
  <si>
    <t>Azure Firewall / Forced Tunneling</t>
  </si>
  <si>
    <t>Azure Networking — Network</t>
  </si>
  <si>
    <t>Optional: route all AVD subnet outbound traffic through Azure Firewall or NVA (if not relying solely on Zscaler). Apply URL filtering rules at network layer.</t>
  </si>
  <si>
    <t>Azure Firewall or NVA + Route Table</t>
  </si>
  <si>
    <t>For BDF, Zscaler provides application-layer filtering. Azure Firewall adds network-layer control but adds cost (~$1,000+/mo). Evaluate if Zscaler + NSG is sufficient or if Azure Firewall is required for compliance/PCI. For retail PCI scope, additional network controls may be required.</t>
  </si>
  <si>
    <t>Zscaler — Zero Trust Network Access (ZTNA)</t>
  </si>
  <si>
    <t>Zscaler — Network + Application</t>
  </si>
  <si>
    <t>Use ZPA App Segments for on-prem SAP access. No split-tunnel VPN. All on-prem access through ZPA App Connectors.</t>
  </si>
  <si>
    <t>Zscaler ZPA Configuration</t>
  </si>
  <si>
    <t>Replace legacy VPN with ZPA for on-prem SAP access from AVD sessions. ZPA enforces: least-privilege access, user identity verification per connection, no lateral movement, full access logging. ZCC on session hosts: machine tunnel mode for all users.</t>
  </si>
  <si>
    <t>RDP Shortpath — UDP Firewall Allow</t>
  </si>
  <si>
    <t>NSG + On-Premises Firewall</t>
  </si>
  <si>
    <t>Allow UDP outbound 65330 from session hosts to internet (for RDP Shortpath managed networks) or UDP from client to Azure (for public network Shortpath).</t>
  </si>
  <si>
    <t>NSG outbound rule + on-prem firewall</t>
  </si>
  <si>
    <t>RDP Shortpath UDP dramatically improves session latency and resilience. For managed network Shortpath: allow UDP on the private RDP port range from session hosts. For public network Shortpath: clients need UDP 49152-65535 outbound. Test if Zscaler UDP handling interferes.</t>
  </si>
  <si>
    <t xml:space="preserve">  ▸  SESSION HOST HARDENING</t>
  </si>
  <si>
    <t>Microsoft Defender for Endpoint (MDE) — AVD Mode</t>
  </si>
  <si>
    <t>Defender — Infrastructure</t>
  </si>
  <si>
    <t>Onboard ALL session hosts to MDE. Enable VDI onboarding mode (persistent VDI with tag, or non-persistent via golden image script). Configure tamper protection.</t>
  </si>
  <si>
    <t>Infrastructure</t>
  </si>
  <si>
    <t>MDE Onboarding Script in Golden Image</t>
  </si>
  <si>
    <t>For pooled (non-persistent) AVD: use the 'non-persistent VDI' MDE onboarding script in the golden image. Each new session host auto-registers with MDE on boot. Enable Tamper Protection to prevent malware from disabling Defender. Included in E3/F1.</t>
  </si>
  <si>
    <t>Windows Firewall on Session Hosts</t>
  </si>
  <si>
    <t>Windows Firewall — Infrastructure</t>
  </si>
  <si>
    <t>Enable Windows Firewall. Block inbound on all profiles. Allow only: AVD agent communication, RD protocol (internal). Configure via Intune Security Baseline.</t>
  </si>
  <si>
    <t>Intune Security Baseline Policy</t>
  </si>
  <si>
    <t>Apply Microsoft Intune Security Baseline for Windows 10/11. This covers 200+ recommended settings including firewall, Defender, user rights. Customizations needed: exclude AVD agent ports, ensure Zscaler tunnel ports are not blocked.</t>
  </si>
  <si>
    <t>Local Admin Rights Removal</t>
  </si>
  <si>
    <t>Session Host — Identity</t>
  </si>
  <si>
    <t>Remove all standard users from local Administrators group. AVD standard users do not need local admin. Use Intune LAPS for emergency local admin access.</t>
  </si>
  <si>
    <t>Intune Device Configuration</t>
  </si>
  <si>
    <t>Standard users with local admin can: install malware, bypass Zscaler, modify FSLogix settings. Apply via Intune: Endpoint Security &gt; Account Protection &gt; Local user group membership. For developers needing admin: use separate personal host pool with elevated rights.</t>
  </si>
  <si>
    <t>BitLocker Encryption on Session Host OS Disk</t>
  </si>
  <si>
    <t>Encryption — Infrastructure</t>
  </si>
  <si>
    <t>Enable Azure Disk Encryption (BitLocker) on all session host OS disks. Use Key Vault for encryption keys.</t>
  </si>
  <si>
    <t>Data</t>
  </si>
  <si>
    <t>Azure Disk Encryption + Key Vault</t>
  </si>
  <si>
    <t>Azure managed disks are encrypted at rest by default (server-side encryption). For additional compliance (PCI-DSS, HIPAA), enable Azure Disk Encryption (BitLocker) at the VM level. Keys managed in Azure Key Vault with RBAC-controlled access. Minimal performance impact on NVMe SSD disks.</t>
  </si>
  <si>
    <t>Azure Disk Encryption for Azure Files</t>
  </si>
  <si>
    <t>Encryption — Data</t>
  </si>
  <si>
    <t>Azure Files encrypted at rest by default (Microsoft-managed keys). For compliance: configure Customer-Managed Keys (CMK) in Key Vault.</t>
  </si>
  <si>
    <t>Azure Storage → Encryption → CMK</t>
  </si>
  <si>
    <t>✅ Included (E3/F1)</t>
  </si>
  <si>
    <t>Azure Files is encrypted at rest by default with Microsoft-managed keys. For organizations requiring customer-managed keys (regulated industries), configure CMK via Key Vault. For BDF retail environment, Microsoft-managed keys are typically sufficient unless specific compliance mandates otherwise.</t>
  </si>
  <si>
    <t>Screen Capture &amp; Watermark Protection</t>
  </si>
  <si>
    <t>AVD Session — Data</t>
  </si>
  <si>
    <t>Enable Screen Capture Protection (Block on client and server) + Watermarking for sessions accessing PII/financial data.</t>
  </si>
  <si>
    <t>Screen Capture Protection blocks screenshots in AVD sessions — critical for SAP sessions displaying customer/financial data. Watermarking adds visible username/session info deterrent. Both settings in Host Pool RDP Properties. Test on all device types (iPad + thin client + PC).</t>
  </si>
  <si>
    <t>Session Host Patch Compliance (Azure Policy)</t>
  </si>
  <si>
    <t>Compliance — Infrastructure</t>
  </si>
  <si>
    <t>Azure Policy: Audit session hosts for OS patch compliance (requires Assessment Mode). Alert if hosts are 30+ days behind on Critical patches.</t>
  </si>
  <si>
    <t>Azure Policy + Azure Update Manager</t>
  </si>
  <si>
    <t>Create Azure Policy definition to assess patch compliance on session hosts. Use Azure Update Manager Compliance view. Alert via Azure Monitor when hosts have unresolved Critical patches older than 30 days. This ensures golden image refresh cycle is actually happening.</t>
  </si>
  <si>
    <t>Just-In-Time (JIT) VM Access</t>
  </si>
  <si>
    <t>Azure Security Center — Network</t>
  </si>
  <si>
    <t>Enable JIT VM Access on session hosts (via Defender for Cloud). Admin RDP only possible after JIT approval — time-limited port open.</t>
  </si>
  <si>
    <t>Defender for Cloud → JIT Access</t>
  </si>
  <si>
    <t>With Azure Bastion, direct RDP to session hosts is already restricted. Add JIT as defense-in-depth: requires explicit approval before Bastion can reach a specific VM. JIT opens RDP only for approved user, for limited time (max 3hrs), from specific source IP. Audit trail of all admin access.</t>
  </si>
  <si>
    <t xml:space="preserve">  ▸  DATA PROTECTION &amp; COMPLIANCE</t>
  </si>
  <si>
    <t>OneDrive Known Folder Move (KFM)</t>
  </si>
  <si>
    <t>Data Protection — Data</t>
  </si>
  <si>
    <t>Enforce OneDrive KFM via Intune/GPO: redirect Desktop, Documents, Pictures to SharePoint/OneDrive. Do NOT store user data in FSLogix profile.</t>
  </si>
  <si>
    <t>Intune Device Config / GPO</t>
  </si>
  <si>
    <t>OneDrive KFM moves user data from profile to OneDrive/SharePoint cloud storage — protected, versioned, and available from any device. This is the most impactful data protection measure. Keeps FSLogix profile small (faster logon) and means user files survive even if profile VHDX is corrupted.</t>
  </si>
  <si>
    <t>Microsoft Purview DLP (Data Loss Prevention)</t>
  </si>
  <si>
    <t>Configure Purview DLP policies: block upload of PII, credit card data to unmanaged apps from AVD sessions.</t>
  </si>
  <si>
    <t>Microsoft Purview Admin Center</t>
  </si>
  <si>
    <t>Purview DLP classifies sensitive data in real-time. From AVD sessions: block upload of credit card numbers, SSNs, financial data to personal cloud storage or web uploads. Integrated with Defender for Cloud Apps for session-level enforcement. E3 license includes basic DLP — advanced requires Purview add-on.</t>
  </si>
  <si>
    <t>Intune Compliance Policies for iPads</t>
  </si>
  <si>
    <t>Device Compliance — Device</t>
  </si>
  <si>
    <t>Require: iOS version ≥ 16, passcode, encrypted, not jailbroken, no malicious apps detected.</t>
  </si>
  <si>
    <t>Microsoft Intune — Compliance Policy (iOS)</t>
  </si>
  <si>
    <t>Define Intune compliance policy for iOS/iPadOS: minimum OS version, require screen lock passcode, encryption enforced, jailbreak detection blocked, threat level 'Secured' or 'Low'. Non-compliant iPads can be blocked from AVD via Conditional Access policy (require compliant device).</t>
  </si>
  <si>
    <t>Microsoft Entra ID — Token Protection</t>
  </si>
  <si>
    <t>Enable Token Protection in Conditional Access (preview). Binds session tokens to the specific device — prevents token theft.</t>
  </si>
  <si>
    <t>Conditional Access — Token Protection (Preview)</t>
  </si>
  <si>
    <t>Token theft attacks steal authentication tokens and replay them from different devices. Token Protection cryptographically binds the token to the enrolled device — replayed tokens on different devices are rejected. Enable for AVD access policy. Currently in Preview — test before production enforcement.</t>
  </si>
  <si>
    <t>Azure Private Endpoints for All Storage</t>
  </si>
  <si>
    <t>Network Security — Network</t>
  </si>
  <si>
    <t>All Azure Files shares accessed via Private Endpoint only. Disable public endpoint on storage accounts after private endpoints confirmed working.</t>
  </si>
  <si>
    <t>Azure Private Endpoint + Storage Firewall</t>
  </si>
  <si>
    <t>After creating private endpoints for Azure Files (profile + ODFC shares), disable public endpoint access on the storage account: Storage Account → Networking → Public network access = Disabled. This means ONLY traffic from within the AVD VNet can mount profiles — no internet exposure of profile data.</t>
  </si>
  <si>
    <t xml:space="preserve">  ▸  AUDIT, MONITORING &amp; INCIDENT RESPONSE</t>
  </si>
  <si>
    <t>Entra ID Sign-In Logs → SIEM</t>
  </si>
  <si>
    <t>Monitoring — Identity</t>
  </si>
  <si>
    <t>Forward Entra ID Sign-in and Audit logs to Log Analytics (or external SIEM). Retain 90 days minimum (compliance).</t>
  </si>
  <si>
    <t>Entra ID Diagnostic Settings</t>
  </si>
  <si>
    <t>Entra ID logs all AVD authentications. Forward to Log Analytics: Entra Admin Center → Diagnostic Settings → SignInLogs + AuditLogs → Log Analytics Workspace. Query: high-risk sign-ins, failed MFA, impossible travel, bulk app access. Retention: 30 days free in Entra, extend via Log Analytics.</t>
  </si>
  <si>
    <t>Defender for Cloud — CSPM (Security Score)</t>
  </si>
  <si>
    <t>Enable Defender CSPM for AVD subscription. Target security score &gt; 80%. Review recommendations weekly.</t>
  </si>
  <si>
    <t>Defender for Cloud</t>
  </si>
  <si>
    <t>Defender for Cloud CSPM (Cloud Security Posture Management) continuously assesses AVD resources against security best practices (CIS, Azure Benchmarks). Generates prioritized recommendations. Free tier available. Paid CSPM (Defender CSPM plan) adds governance, attack path analysis — evaluate for compliance requirements.</t>
  </si>
  <si>
    <t>Privileged Access Workstations (PAW) for AVD Admin</t>
  </si>
  <si>
    <t>Admin Security — Identity</t>
  </si>
  <si>
    <t>All AVD administration done from Azure Bastion + hardened admin accounts. No admin from personal devices.</t>
  </si>
  <si>
    <t>Azure Bastion + Intune Compliance</t>
  </si>
  <si>
    <t>AVD admins should not manage from personal unmanaged devices. Require: Intune-compliant device + MFA + named location (corporate network or VPN) for Azure portal access. Use Azure Bastion for all session host VM access — no public IPs, no exposed RDP ports.</t>
  </si>
  <si>
    <t>Security Incident Runbook — AVD</t>
  </si>
  <si>
    <t>Incident Response</t>
  </si>
  <si>
    <t>Document IR runbook: compromised user account, malware on session host, profile VHDX tampering, Zscaler tunnel failure, SAP unauthorized access.</t>
  </si>
  <si>
    <t>IT Documentation / Confluence</t>
  </si>
  <si>
    <t>Prepare AVD-specific IR runbooks: 1) Compromised user — disable in Entra ID, revoke tokens, isolate session host. 2) Malware on session host — drain host, isolate VM, forensic snapshot, redeploy from image. 3) Profile breach — audit Azure Files access logs, recover from backup. 4) Zscaler tunnel down — temporary failover path.</t>
  </si>
  <si>
    <t>Regulatory Compliance — PCI-DSS (Retail)</t>
  </si>
  <si>
    <t>Compliance — Data</t>
  </si>
  <si>
    <t>If BDF processes payment card data in AVD sessions: document AVD in PCI scope, implement required controls (encryption, logging, access control, pen test).</t>
  </si>
  <si>
    <t>Compliance Framework Review</t>
  </si>
  <si>
    <t>Retail organizations processing payment card data must address PCI-DSS for in-scope AVD sessions. Key requirements: network segmentation (separate host pool for PCI scope), encryption in transit and at rest, comprehensive audit logging (90+ days), quarterly access reviews, annual pen test of AVD environment. Engage QSA for scoping assessment.</t>
  </si>
  <si>
    <t xml:space="preserve">  ▸  OKTA MFA INTEGRATION + TANIUM SECURITY — BDF-SPECIFIC CONFIGURATION</t>
  </si>
  <si>
    <t>Okta as External IdP — Entra ID Federation</t>
  </si>
  <si>
    <t>Okta + Entra ID — Identity</t>
  </si>
  <si>
    <t>Configure Okta as federated IdP to Entra ID via SAML 2.0 or OIDC. AVD authenticates via Entra ID, which delegates to Okta for MFA step-up. Users log into AVD with their Okta credentials.</t>
  </si>
  <si>
    <t>Entra ID External Identities + Okta SAML App</t>
  </si>
  <si>
    <t>Architecture: User → AVD (RD Client) → Entra ID Auth → Okta SAML assertion → MFA via Okta Verify → Session granted. Setup steps: 1) In Okta: create SAML 2.0 app for 'Azure AD' or use Okta Azure AD federation wizard, 2) In Entra ID: configure Okta as federated domain IdP, 3) Test with pilot users before production. Okta Verify app on iPads: works via push notification — no extra hardware.</t>
  </si>
  <si>
    <t>Okta Verify — iPad &amp; Thin Client MFA Flow</t>
  </si>
  <si>
    <t>Okta MFA — Device</t>
  </si>
  <si>
    <t>Deploy Okta Verify app via Intune to all managed iPads. Configure push notification MFA (most user-friendly for store workers). Fallback: TOTP code or SMS.</t>
  </si>
  <si>
    <t>Intune App Deployment + Okta Admin Console</t>
  </si>
  <si>
    <t>iPad MFA flow: 1) Store associate opens RD Client on iPad, 2) Enters username/password, 3) Okta Verify push notification appears on the SAME iPad, 4) User taps Approve, 5) Session launches. Deploy Okta Verify (app bundle: com.okta.mobile) via Intune Required App to all store iPads. Configure Okta push with number challenge (prevents MFA fatigue attacks). Thin client users: browser-based Okta login page for TOTP entry.</t>
  </si>
  <si>
    <t>Okta FastPass (Passwordless AVD Login)</t>
  </si>
  <si>
    <t>Okta Identity Engine — Identity</t>
  </si>
  <si>
    <t>Enable Okta FastPass for managed devices. Users launch AVD with no password — just biometric or device unlock.</t>
  </si>
  <si>
    <t>Okta Identity Engine + FastPass + Intune</t>
  </si>
  <si>
    <t>Okta FastPass on Intune-managed iPads: 1) Device must be Intune-enrolled + Okta Verify installed, 2) FastPass uses device biometric (Face ID/Touch ID) as authenticator, 3) No password needed for AVD access — just Face ID then SAP session launches. Dramatically improves store associate experience. Requires Okta Identity Engine (OIE) — verify your Okta org is on OIE.</t>
  </si>
  <si>
    <t>Okta Conditional Access Policies (Okta-side)</t>
  </si>
  <si>
    <t>Okta — Identity + Network</t>
  </si>
  <si>
    <t>Create Okta Sign-On Policy for AVD app: require Okta Verify push, restrict to known networks, block suspicious IP ranges, enforce device trust.</t>
  </si>
  <si>
    <t>Okta Admin Console — Authentication Policies</t>
  </si>
  <si>
    <t>In Okta admin console: Applications → Windows Virtual Desktop (Azure AD app) → Sign On → Create policy rule: a) If device is managed (Intune) → allow FastPass, b) If device is unmanaged → require Okta Verify push + network check, c) If IP is from Tor/anonymous proxy → block, d) If location is outside US → require step-up MFA. Align with Entra ID CA policies to avoid double MFA prompts.</t>
  </si>
  <si>
    <t>Avoid Double MFA (Okta + Entra ID coordination)</t>
  </si>
  <si>
    <t>Configure federated trust so that when Okta MFA is satisfied, Entra ID CA does NOT re-prompt for MFA. Use Entra ID CA policy exception for Okta-federated users.</t>
  </si>
  <si>
    <t>Entra ID CA Policy + Okta Claims</t>
  </si>
  <si>
    <t>COMMON ISSUE: Users get MFA prompted twice — once by Okta, once by Entra ID CA policy. Fix: 1) In Entra ID CA policy for AVD, add condition: 'Users → Exclude → [Okta federated users group]' OR use Entra ID External Auth Method (EAM) feature to let Entra ID recognize Okta MFA as satisfying the MFA requirement. 2) Alternatively: configure Okta to pass the 'amr' claim with 'mfa' value in SAML assertion — Entra ID respects this claim.</t>
  </si>
  <si>
    <t>Okta + SAP SSO (SAML Chain)</t>
  </si>
  <si>
    <t>Okta + SAP — Application</t>
  </si>
  <si>
    <t>Use Okta as central IdP for SAP browser apps too. Configure Okta as SAML IdP for SAP NetWeaver. Users authenticated via Okta to AVD are automatically signed into SAP (no second login).</t>
  </si>
  <si>
    <t>Okta App Catalog — SAP NetWeaver SAML App</t>
  </si>
  <si>
    <t>Okta has a pre-built SAP NetWeaver SAML integration in the Okta App Catalog. Setup: 1) Add SAP NetWeaver app in Okta, 2) Configure SAML settings (SAP NW SP metadata), 3) Map Okta user attributes to SAP roles, 4) Since AVD session is already Okta-authenticated, browser in session can use IdP-initiated SSO to SAP — no password. Test: Launch SAP RemoteApp from iPad → SAP Fiori loads with Okta SSO → zero additional prompts.</t>
  </si>
  <si>
    <t>Tanium Threat Response — Alert on Session Host IOCs</t>
  </si>
  <si>
    <t>Tanium + SIEM — Infrastructure</t>
  </si>
  <si>
    <t>Configure Tanium Threat Response Intel to alert on AVD-specific IOCs: lateral movement from session hosts, unusual process execution (cryptominers), large data exfiltration.</t>
  </si>
  <si>
    <t>Tanium Threat Response + Threat Intel feeds</t>
  </si>
  <si>
    <t>AVD session hosts are shared multi-tenant VMs — one compromised user session could affect others on the same host. Tanium Threat Response monitors all processes on session hosts in real-time. Configure Intel feeds: MITRE ATT&amp;CK mappings, custom IOC for known retail threats (POS malware, skimmers). Alert: any process attempting network connections outside Zscaler tunnel, PowerShell encoded commands, lateral movement via SMB.</t>
  </si>
  <si>
    <t>Native AVD Scaling Plans + Azure Automation custom scaling | Retail store hours | E3 Office &amp; F1 Frontline host pools | Holiday surge handling | Okta + Tanium aware</t>
  </si>
  <si>
    <t xml:space="preserve">  ▸  A.  PREREQUISITES &amp; SCALING PLAN CONFIGURATION</t>
  </si>
  <si>
    <t>Setting / Component</t>
  </si>
  <si>
    <t>Value / Configuration</t>
  </si>
  <si>
    <t>Host Pool Target</t>
  </si>
  <si>
    <t>Notes &amp; Implementation Detail</t>
  </si>
  <si>
    <t>Enable 'Start VM on Connect'</t>
  </si>
  <si>
    <t>Enabled — REQUIRED before creating Scaling Plan</t>
  </si>
  <si>
    <t>Both host pools (E3 + F1)</t>
  </si>
  <si>
    <t>Allows fully deallocated (stopped) VMs to start automatically when a user connects. Without this, scale-down savings are impossible — VMs can only go to 'Available' state. Setup: a) Grant 'Desktop Virtualization Power On Contributor' role to AVD service principal on the AVD resource group, b) Enable toggle in Host Pool → Properties → Start VM on Connect.</t>
  </si>
  <si>
    <t>AVD Service Principal — RBAC Role</t>
  </si>
  <si>
    <t>Desktop Virtualization Power On Contributor role on subscription or resource group</t>
  </si>
  <si>
    <t>Both host pools</t>
  </si>
  <si>
    <t>The Scaling Plan uses the AVD service principal (app ID: 9cdead84-a844-4324-93f2-b2e6bb768d07) to start/stop VMs. Assign role: az role assignment create --assignee 9cdead84-a844-4324-93f2-b2e6bb768d07 --role 'Desktop Virtualization Power On Contributor' --scope /subscriptions/{id}/resourceGroups/rg-avd-prod-eastus</t>
  </si>
  <si>
    <t>Session Host Registration — Tanium Auto-Register</t>
  </si>
  <si>
    <t>Tanium DirectConnect=1 in tanium-init.dat on golden image</t>
  </si>
  <si>
    <t>When Auto-Scaling spins up NEW session hosts from the golden image, they must register with Tanium automatically. Pre-configure tanium-init.dat before image capture: ServerName=tanium.bdf.internal, DirectConnect=1, LogVerbosityLevel=41. New VMs will appear in Tanium inventory within 5 mins of first boot.</t>
  </si>
  <si>
    <t>Okta Verify — Auto-Enrollment on Scale-Out VMs</t>
  </si>
  <si>
    <t>Intune policy auto-pushes Okta Verify config to new VMs (for machine-level tunnel)</t>
  </si>
  <si>
    <t>Session hosts (machine-level)</t>
  </si>
  <si>
    <t>Scale-out VMs boot from golden image which already has Zscaler Client Connector (machine tunnel). Okta authentication is user-level (happens at client device, not on the session host) — so no Okta enrollment needed on session hosts themselves. Okta Verify lives on the user's iPad/thin client, not the server.</t>
  </si>
  <si>
    <t>Scaling Plan Time Zone</t>
  </si>
  <si>
    <t>Eastern Time (America/New_York) — BDF HQ + majority of stores</t>
  </si>
  <si>
    <t>Set the correct time zone for the Scaling Plan. CRITICAL: BDF may have stores in multiple time zones (ET, CT, MT, PT). Options: a) Create separate Scaling Plans per time zone, b) Use Eastern Time and accept early scale-up for western stores, c) Use a single conservative schedule. For BDF: recommend separate Scaling Plans for Eastern stores and Pacific/Mountain stores if &gt;50 stores in those zones.</t>
  </si>
  <si>
    <t>Diagnostic Settings — Scaling Plan Logs</t>
  </si>
  <si>
    <t>Enable Diagnostic Settings on Scaling Plan → Log Analytics</t>
  </si>
  <si>
    <t>Enable: ScalingPlan + HostPool diagnostics → Log Analytics. Monitor: SessionHostManagement events (VM start/stop), session counts, scaling triggers. Without this, you cannot debug why VMs are not scaling as expected. KQL query: WVDHostRegistrations | where TimeGenerated &gt; ago(24h) | summarize count() by HostPool, Status</t>
  </si>
  <si>
    <t xml:space="preserve">  ▸  B.  E3 OFFICE WORKERS — SCALING PLAN SCHEDULE (Weekday &amp; Weekend)</t>
  </si>
  <si>
    <t>Phase</t>
  </si>
  <si>
    <t>Start Time</t>
  </si>
  <si>
    <t>Min Hosts Active</t>
  </si>
  <si>
    <t>Max Hosts</t>
  </si>
  <si>
    <t>Capacity Threshold %</t>
  </si>
  <si>
    <t>Force Logoff Wait (mins)</t>
  </si>
  <si>
    <t>VM Action</t>
  </si>
  <si>
    <t>Rationale</t>
  </si>
  <si>
    <t>Ramp-Up</t>
  </si>
  <si>
    <t>6:30 AM</t>
  </si>
  <si>
    <t>60%</t>
  </si>
  <si>
    <t>Start deallocated VMs</t>
  </si>
  <si>
    <t>Pre-warm 3 VMs before office opens 8AM. VMs start ~7 mins to be session-ready. BreadthFirst spreads early users across warming VMs.</t>
  </si>
  <si>
    <t>Peak</t>
  </si>
  <si>
    <t>8:00 AM – 6:00 PM</t>
  </si>
  <si>
    <t>80%</t>
  </si>
  <si>
    <t>Keep all needed VMs running</t>
  </si>
  <si>
    <t>Full office hours. Max 15 VMs for 200 E3 users (~50 concurrent peak). Capacity threshold 80% = add VM before hitting max sessions.</t>
  </si>
  <si>
    <t>Ramp-Down</t>
  </si>
  <si>
    <t>6:00 PM</t>
  </si>
  <si>
    <t>DepthFirst</t>
  </si>
  <si>
    <t>90%</t>
  </si>
  <si>
    <t>15</t>
  </si>
  <si>
    <t>Drain + stop idle VMs</t>
  </si>
  <si>
    <t>Switch to DepthFirst — pack remaining users onto fewer VMs. Force logoff notification 15 mins before logoff. VMs with 0 sessions are stopped (deallocated = no compute charge).</t>
  </si>
  <si>
    <t>Off-Peak</t>
  </si>
  <si>
    <t>10:00 PM – 6:30 AM</t>
  </si>
  <si>
    <t>All but 1 VM stopped</t>
  </si>
  <si>
    <t>Minimum 1 VM always running for emergency access (IT on-call, overnight tasks). Max 3 VMs if needed for late workers. Saves ~$1,600/mo in E3 compute costs.</t>
  </si>
  <si>
    <t>Peak (Weekend)</t>
  </si>
  <si>
    <t>9:00 AM – 5:00 PM</t>
  </si>
  <si>
    <t>Reduced weekend capacity</t>
  </si>
  <si>
    <t>Fewer HQ staff on weekends. Max 8 VMs (40% of weekday peak). Adjust if BDF has significant weekend office work.</t>
  </si>
  <si>
    <t>Off-Peak (Weekend)</t>
  </si>
  <si>
    <t>5:00 PM – 9:00 AM</t>
  </si>
  <si>
    <t>Minimal weekend overnight</t>
  </si>
  <si>
    <t>1 VM standby only. Auto-scale up if connections spike unexpectedly.</t>
  </si>
  <si>
    <t xml:space="preserve">  ▸  C.  F1 FRONTLINE / STORE WORKERS — SCALING PLAN SCHEDULE (Retail Store Hours)</t>
  </si>
  <si>
    <t>7:30 AM</t>
  </si>
  <si>
    <t>Start store-hour VMs</t>
  </si>
  <si>
    <t>Stores open 9AM—10AM. Pre-warm 3 VMs by 7:30AM. F1 frontline users on iPads/thin clients connect when stores open. 30-min buffer for slow VM start.</t>
  </si>
  <si>
    <t>9:00 AM – 9:00 PM</t>
  </si>
  <si>
    <t>85%</t>
  </si>
  <si>
    <t>Full capacity for store hours</t>
  </si>
  <si>
    <t>Peak store hours. 10 VMs x 12 sessions = 120 concurrent F1 sessions. Serves ~800 store users across shifts (not all concurrent). BreadthFirst for best session distribution.</t>
  </si>
  <si>
    <t>9:00 PM</t>
  </si>
  <si>
    <t>10</t>
  </si>
  <si>
    <t>Pack sessions, stop idle VMs</t>
  </si>
  <si>
    <t>Store closing. DepthFirst packs remaining sessions. 10-min logoff warning for late users. Stop VMs as session counts drop.</t>
  </si>
  <si>
    <t>11:00 PM – 7:30 AM</t>
  </si>
  <si>
    <t>Overnight minimal</t>
  </si>
  <si>
    <t>1 VM for overnight inventory, loss-prevention staff. Scale to 2 if needed. Saves ~$1,400/mo in F1 compute.</t>
  </si>
  <si>
    <t>Peak (Black Friday/Holiday)</t>
  </si>
  <si>
    <t>7:00 AM – 11:00 PM</t>
  </si>
  <si>
    <t>75%</t>
  </si>
  <si>
    <t>SURGE: Max hosts pre-warmed</t>
  </si>
  <si>
    <t>Holiday override schedule. Pre-warm ALL 10 VMs + scale out to 15 max (add 5 extra VMs). Lower threshold to 75% for aggressive scale-out. See Section F for holiday automation.</t>
  </si>
  <si>
    <t>Peak (Weekend — Stores)</t>
  </si>
  <si>
    <t>9:00 AM – 8:00 PM</t>
  </si>
  <si>
    <t>Weekend store hours</t>
  </si>
  <si>
    <t>Stores typically open weekends same as weekday. 5 VMs pre-warmed (slightly less than weekday peak). Monitor actuals and adjust min.</t>
  </si>
  <si>
    <t xml:space="preserve">  ▸  D.  KEY SCALING THRESHOLD SETTINGS &amp; ADVANCED CONFIGURATION</t>
  </si>
  <si>
    <t>Setting</t>
  </si>
  <si>
    <t>E3 Office Value</t>
  </si>
  <si>
    <t>F1 Frontline Value</t>
  </si>
  <si>
    <t>Where Configured</t>
  </si>
  <si>
    <t>Impact</t>
  </si>
  <si>
    <t>Capacity Threshold (% sessions used before adding VM)</t>
  </si>
  <si>
    <t>80% during Peak</t>
  </si>
  <si>
    <t>85% during Peak</t>
  </si>
  <si>
    <t>Scaling Plan → Schedule → Capacity Threshold</t>
  </si>
  <si>
    <t>When (active sessions / (max sessions × active VMs)) reaches this %, the Scaling Plan starts another VM. E3: 80% = less crowding before new VM starts. F1: 85% = slightly tighter packing before scale-out. Lower = better user experience but higher cost. Never set above 90%.</t>
  </si>
  <si>
    <t>Force Logoff Delay (Ramp-Down notification)</t>
  </si>
  <si>
    <t>15 minutes warning</t>
  </si>
  <si>
    <t>10 minutes warning</t>
  </si>
  <si>
    <t>Scaling Plan → Schedule → Ramp-Down → Force Logoff Delay</t>
  </si>
  <si>
    <t>Before forcibly ending idle sessions during scale-down, AVD sends a warning message to the user. E3 office workers get 15-min warning (they may have unsaved work). F1 store workers get 10-min warning (lighter workloads, shift-based so sessions should already be ending).</t>
  </si>
  <si>
    <t>Min Active Hosts During Off-Peak</t>
  </si>
  <si>
    <t>1 VM always on</t>
  </si>
  <si>
    <t>Scaling Plan → Off-Peak Phase → Min Active Hosts</t>
  </si>
  <si>
    <t>NEVER set to 0. Always keep 1 VM in Available state so users connecting unexpectedly (IT admin, overnight manager) get a session within normal time. Setting 0 means all VMs are deallocated — new user connection triggers VM start (7-10 min wait — unacceptable).</t>
  </si>
  <si>
    <t>Max Session Limit per VM (Host Pool setting)</t>
  </si>
  <si>
    <t>8 sessions/VM (D4ds_v5)</t>
  </si>
  <si>
    <t>12 sessions/VM (D8ds_v5)</t>
  </si>
  <si>
    <t>This is the HARD CAP per VM. Scaling Plan uses this to calculate when to spin up next VM. D4ds_v5 (4 vCPU/16GB) maxes out at ~8 sessions for E3 Office workers (heavy Office/Teams). D8ds_v5 (8 vCPU/32GB) handles 12 F1 frontline (lighter browser-only workload with SAP).</t>
  </si>
  <si>
    <t>Scale-Out Buffer VMs (spare capacity)</t>
  </si>
  <si>
    <t>1 extra VM pre-started before reaching max</t>
  </si>
  <si>
    <t>1 extra VM pre-started</t>
  </si>
  <si>
    <t>Scaling Plan → Capacity Threshold tuning</t>
  </si>
  <si>
    <t>At 80% capacity threshold with 15 VMs max: Scaling Plan starts VM #16 (wait — but max is 15). Solution: ensure your max hosts value leaves headroom. Alternatively, set capacity threshold at 70% to start next VM earlier. Test what threshold keeps logon queuing below 5 seconds.</t>
  </si>
  <si>
    <t>Scale-Down Grace Period (Session Drain)</t>
  </si>
  <si>
    <t>Drain Mode enabled, wait until 0 active sessions</t>
  </si>
  <si>
    <t>Drain Mode, wait 0 active sessions</t>
  </si>
  <si>
    <t>Scaling Plan → Ramp-Down → Drain behavior</t>
  </si>
  <si>
    <t>When Scaling Plan decides to stop a VM, it first puts the host in Drain Mode (no new sessions) and waits for existing sessions to end. Do NOT force-stop a VM with active sessions. Configure grace period: if sessions not ended after [Force Logoff Delay], send message and then disconnect. Tanium graceful shutdown scripts can be triggered before VM deallocation.</t>
  </si>
  <si>
    <t>Session Host Replacement on Unhealthy State</t>
  </si>
  <si>
    <t>Auto-replace via Azure Automation runbook</t>
  </si>
  <si>
    <t>Azure Automation + AVD Health Check alerts</t>
  </si>
  <si>
    <t>AVD health checks flag session hosts as 'Unavailable' if AVD agent fails, FSLogix unreachable, Defender not running, domain join issue. Configure Azure Monitor Alert on Unavailable hosts → triggers Azure Automation Runbook: 1) Drain host, 2) Wait for sessions to end, 3) Delete VM, 4) Redeploy from golden image. Tanium monitors the newly deployed VM and auto-registers.</t>
  </si>
  <si>
    <t>Scaling Plan Assignment (Multiple Host Pools)</t>
  </si>
  <si>
    <t>Separate Scaling Plans for E3 and F1</t>
  </si>
  <si>
    <t>Scaling Plan → Host Pool Assignments</t>
  </si>
  <si>
    <t>Create TWO scaling plans: sp-avd-e3-office and sp-avd-f1-frontline. Each has its own schedule. Do NOT use a single plan for both — E3 and F1 have different peak hours, VM sizes, and session limits. Assign each Scaling Plan to its respective host pool only.</t>
  </si>
  <si>
    <t>Auto-Scale New VMs from Compute Gallery</t>
  </si>
  <si>
    <t>New VMs deployed from latest gallery image version</t>
  </si>
  <si>
    <t>Same</t>
  </si>
  <si>
    <t>Host Pool → Session Host Image source</t>
  </si>
  <si>
    <t>When Scaling Plan starts a new VM OR the auto-healing runbook replaces an unhealthy host, the new VM must come from the LATEST golden image version in Azure Compute Gallery. Configure this as the image source for the host pool. New VMs inherit: Tanium agent, Zscaler ZCC, MDE, FSLogix — all pre-configured from golden image.</t>
  </si>
  <si>
    <t>Scaling Plan Exclusion — Maintenance Hosts</t>
  </si>
  <si>
    <t>Exclude specific hosts via Drain Mode before patching</t>
  </si>
  <si>
    <t>Host Pool → Session Hosts → Drain Mode toggle</t>
  </si>
  <si>
    <t>When a session host is being patched or replaced, put it in Drain Mode FIRST. The Scaling Plan will not send new sessions to a Drain Mode host. After patching: remove Drain Mode. Tanium Patch workflow: 1) Tanium puts host in Drain Mode via PowerShell automation, 2) Waits for 0 sessions, 3) Applies patch, 4) Validates, 5) Removes Drain Mode.</t>
  </si>
  <si>
    <t xml:space="preserve">  ▸  E.  AZURE AUTOMATION RUNBOOK — CUSTOM SCALE-OUT / AUTO-HEALING IMPLEMENTATION</t>
  </si>
  <si>
    <t>Step</t>
  </si>
  <si>
    <t>Action</t>
  </si>
  <si>
    <t>Command / Details</t>
  </si>
  <si>
    <t>Trigger</t>
  </si>
  <si>
    <t>Timing</t>
  </si>
  <si>
    <t>Create Azure Automation Account</t>
  </si>
  <si>
    <t>Azure Portal / CLI</t>
  </si>
  <si>
    <t>az automation account create --name aa-avd-scaling-bdf --resource-group rg-avd-prod-eastus --location eastus --sku Free</t>
  </si>
  <si>
    <t>One-time setup</t>
  </si>
  <si>
    <t>Week 1 POC</t>
  </si>
  <si>
    <t>Import AVD Scaling Toolkit Runbooks (Microsoft provided)</t>
  </si>
  <si>
    <t>PowerShell Gallery + Automation Account</t>
  </si>
  <si>
    <t>Import Microsoft's official AVD scaling runbooks: WVDAutoScale.ps1 from aka.ms/avd-scaling. Import Az.DesktopVirtualization, Az.Compute, Az.Accounts modules into Automation Account.</t>
  </si>
  <si>
    <t>Week 1</t>
  </si>
  <si>
    <t>Create Run As Account (or Managed Identity)</t>
  </si>
  <si>
    <t>Automation Account → Managed Identity</t>
  </si>
  <si>
    <t>Enable System-Assigned Managed Identity on Automation Account. Assign roles: Desktop Virtualization Contributor + Virtual Machine Contributor + Reader on AVD resource group.</t>
  </si>
  <si>
    <t>Custom Runbook: Add-AVDSessionHost</t>
  </si>
  <si>
    <t>PowerShell Runbook</t>
  </si>
  <si>
    <t>Param: HostPoolName, ImageVersion, Count. Creates new VM from Compute Gallery image, adds to host pool via New-AzWvdSessionHost. Tags VM with scaling-source:automation. Runbook triggered by: session count &gt; (max*0.9) or Scaling Plan scale-out event.</t>
  </si>
  <si>
    <t>Event-triggered</t>
  </si>
  <si>
    <t>Automated</t>
  </si>
  <si>
    <t>Custom Runbook: Remove-DrainedAVDSessionHost</t>
  </si>
  <si>
    <t>Param: HostPoolName, MinHosts. Get hosts with 0 sessions in DepthFirst mode. If host count &gt; MinHosts: set Drain Mode, wait 5 min, if still 0 sessions: Stop-AzVM -StayProvisioned $false (deallocate). Tags removed VM for audit. Triggered by: ramp-down schedule or Scaling Plan.</t>
  </si>
  <si>
    <t>Schedule-triggered</t>
  </si>
  <si>
    <t>Custom Runbook: Replace-UnhealthyAVDHost</t>
  </si>
  <si>
    <t>PowerShell Runbook + Azure Monitor Alert</t>
  </si>
  <si>
    <t>Azure Monitor Alert: WVDAgentHealthStatus == 'Unavailable' for &gt;5 mins → fires webhook → Runbook: 1) Set-AzWvdSessionHost -AllowNewSession $false (Drain), 2) Wait-SessionCount 0 (10 min timeout), 3) Invoke-AzVMRunCommand (Tanium graceful shutdown), 4) Remove-AzVM, 5) New-AVDSessionHost from golden image.</t>
  </si>
  <si>
    <t>Alert-triggered (auto-heal)</t>
  </si>
  <si>
    <t>Tanium Graceful Shutdown Integration</t>
  </si>
  <si>
    <t>Tanium + Azure Automation</t>
  </si>
  <si>
    <t>Before VM deallocation: invoke Tanium API to run graceful-shutdown package on the target session host. This: flushes Tanium DB, closes agent, ensures patch status written to Tanium server. Avoids 'ghost' VMs in Tanium inventory. Tanium deregistration timer: set to 48hrs so the VM auto-removes from inventory.</t>
  </si>
  <si>
    <t>Pre-deallocation hook</t>
  </si>
  <si>
    <t>Holiday / Black Friday Scale-Out Runbook</t>
  </si>
  <si>
    <t>Scheduled PowerShell Runbook</t>
  </si>
  <si>
    <t>Schedule runbook to run Nov 25 (day before Black Friday) at 6 PM: 1) Modify Scaling Plan min hosts to 10 (E3) and 10 (F1), 2) Pre-warm all VMs now (not waiting for morning ramp-up), 3) Send Teams notification to IT team confirming holiday scaling active. Reverse runbook scheduled Jan 5.</t>
  </si>
  <si>
    <t>Annual schedule</t>
  </si>
  <si>
    <t>Holiday Prep</t>
  </si>
  <si>
    <t>Capacity Monitoring Dashboard — Log Analytics</t>
  </si>
  <si>
    <t>KQL Queries → Azure Monitor Workbook</t>
  </si>
  <si>
    <t>KQL: WVDConnections | summarize Sessions=count() by HostPool, bin(TimeGenerated,1h) | render timechart. Build workbook showing: current VM count vs active sessions, scaling events timeline, cost per session-hour, capacity headroom %. Save as 'AVD Capacity Dashboard' in Azure Monitor Workbooks.</t>
  </si>
  <si>
    <t>Continuous monitoring</t>
  </si>
  <si>
    <t>Post-deploy</t>
  </si>
  <si>
    <t>Cost Alert — Scaling Anomaly Detection</t>
  </si>
  <si>
    <t>Azure Cost Management + Budget Alert</t>
  </si>
  <si>
    <t>Create Azure Budget Alert: if AVD compute cost &gt; $8,000/month → email IT manager. This catches: runbook loop bugs (keeps creating VMs), scaling plan misconfiguration, Holiday scale-out not reversed. Secondary alert: &gt; 30 VMs running simultaneously (expected max is 25) → page on-call.</t>
  </si>
  <si>
    <t>Ongoing</t>
  </si>
  <si>
    <t xml:space="preserve">  ▸  F.  HOLIDAY SURGE &amp; SPECIAL EVENT SCALING PLAN — RETAIL-SPECIFIC</t>
  </si>
  <si>
    <t>Event / Period</t>
  </si>
  <si>
    <t>Dates</t>
  </si>
  <si>
    <t>E3 Max Hosts</t>
  </si>
  <si>
    <t>F1 Max Hosts</t>
  </si>
  <si>
    <t>Pre-Warm Time</t>
  </si>
  <si>
    <t>Action Required</t>
  </si>
  <si>
    <t>Automation</t>
  </si>
  <si>
    <t>Black Friday</t>
  </si>
  <si>
    <t>Nov 28</t>
  </si>
  <si>
    <t>6:00 AM (3hrs early)</t>
  </si>
  <si>
    <t>Run Holiday-ScaleOut runbook Nov 27 6PM</t>
  </si>
  <si>
    <t>Automated runbook</t>
  </si>
  <si>
    <t>Highest traffic day. Pre-warm ALL VMs night before. Reduce capacity threshold to 70% for aggressive scale-out. IT team on standby 8AM-10PM. Disable Scaling Plan ramp-down — keep all VMs running all day.</t>
  </si>
  <si>
    <t>Cyber Monday</t>
  </si>
  <si>
    <t>Dec 1</t>
  </si>
  <si>
    <t>12</t>
  </si>
  <si>
    <t>7:00 AM</t>
  </si>
  <si>
    <t>Run Holiday-ScaleOut runbook Dec 1 midnight</t>
  </si>
  <si>
    <t>Online focus but store workers still active processing returns/exchanges. Slightly lower than Black Friday.</t>
  </si>
  <si>
    <t>Holiday Season</t>
  </si>
  <si>
    <t>Nov 25 – Dec 31</t>
  </si>
  <si>
    <t>Standard schedule +2hrs early</t>
  </si>
  <si>
    <t>Update Scaling Plan min hosts for Dec</t>
  </si>
  <si>
    <t>Manual Scaling Plan update</t>
  </si>
  <si>
    <t>Sustained elevated demand for 5 weeks. Increase baseline minimum hosts in Scaling Plan. Monitor daily and adjust. Keep 2 spare VMs in standby ready to start.</t>
  </si>
  <si>
    <t>Post-Holiday Returns</t>
  </si>
  <si>
    <t>Jan 2 – Jan 10</t>
  </si>
  <si>
    <t>Standard</t>
  </si>
  <si>
    <t>No special action — returns handled in stores</t>
  </si>
  <si>
    <t>Standard Scaling Plan</t>
  </si>
  <si>
    <t>Return season spike. Keep elevated min hosts through Jan 10. Monitor SAP sessions specifically — returns often involve SAP inventory lookups.</t>
  </si>
  <si>
    <t>Spring Sale Events</t>
  </si>
  <si>
    <t>Mar-Apr (varies)</t>
  </si>
  <si>
    <t>Alert IT team; monitor AVD Insights</t>
  </si>
  <si>
    <t>Manual review</t>
  </si>
  <si>
    <t>Semiannual sale events. Monitor 1 week prior. If prior year data shows &gt;80% capacity, pre-scale min hosts.</t>
  </si>
  <si>
    <t>Back to School</t>
  </si>
  <si>
    <t>Jul 15 – Sep 5</t>
  </si>
  <si>
    <t>8</t>
  </si>
  <si>
    <t>Standard +1hr early</t>
  </si>
  <si>
    <t>Moderate scale-up; review July trends</t>
  </si>
  <si>
    <t>Monitor + adjust</t>
  </si>
  <si>
    <t>BDF furniture category relevant to dorm/apartment moves. Store traffic uptick. Monitor and scale if needed.</t>
  </si>
  <si>
    <t>Store Opening (New Location)</t>
  </si>
  <si>
    <t>As scheduled</t>
  </si>
  <si>
    <t>Add 2 VMs to F1 max</t>
  </si>
  <si>
    <t>Add 2 VMs</t>
  </si>
  <si>
    <t>Day-before pre-warm</t>
  </si>
  <si>
    <t>Add new store users to Entra ID groups; scale F1 max +2</t>
  </si>
  <si>
    <t>Manual host pool update</t>
  </si>
  <si>
    <t>Each new store opening adds ~20-40 F1 frontline users. Pre-add VM capacity and create user accounts 1 week before store opening. Test AVD connectivity from store network before opening day.</t>
  </si>
  <si>
    <t xml:space="preserve">  ▸  G.  AUTO-SCALING IMPLEMENTATION PLAN — STEP BY STEP (Week by Week)</t>
  </si>
  <si>
    <t>Week</t>
  </si>
  <si>
    <t>Action / Task</t>
  </si>
  <si>
    <t>Owner</t>
  </si>
  <si>
    <t>Dependency</t>
  </si>
  <si>
    <t>Estimated Effort</t>
  </si>
  <si>
    <t>Completion Criteria</t>
  </si>
  <si>
    <t>Phase 1
Foundation</t>
  </si>
  <si>
    <t>1.1</t>
  </si>
  <si>
    <t>Enable 'Start VM on Connect' on both host pools</t>
  </si>
  <si>
    <t>Host pools created</t>
  </si>
  <si>
    <t>30 mins</t>
  </si>
  <si>
    <t>Toggle enabled in both host pool properties. Test: new user connection starts a deallocated VM.</t>
  </si>
  <si>
    <t>1.2</t>
  </si>
  <si>
    <t>Assign Desktop Virtualization Power On Contributor role</t>
  </si>
  <si>
    <t>Azure subscription access</t>
  </si>
  <si>
    <t>15 mins</t>
  </si>
  <si>
    <t>az role assignment shows AVD service principal has role on resource group.</t>
  </si>
  <si>
    <t>1.3</t>
  </si>
  <si>
    <t>Create Azure Automation Account + enable Managed Identity</t>
  </si>
  <si>
    <t>Resource group ready</t>
  </si>
  <si>
    <t>1 hr</t>
  </si>
  <si>
    <t>Automation account created. Managed identity enabled. Roles assigned (VM Contributor, DVD Contributor).</t>
  </si>
  <si>
    <t>1.4</t>
  </si>
  <si>
    <t>Import Az PowerShell modules into Automation Account</t>
  </si>
  <si>
    <t>Automation account created</t>
  </si>
  <si>
    <t>Az.DesktopVirtualization, Az.Compute, Az.Accounts, Az.Automation imported successfully.</t>
  </si>
  <si>
    <t>Phase 2
Scaling Plans</t>
  </si>
  <si>
    <t>Week 1–2</t>
  </si>
  <si>
    <t>2.1</t>
  </si>
  <si>
    <t>Create Scaling Plan: sp-avd-e3-office</t>
  </si>
  <si>
    <t>Host pool ready, Start VM on Connect enabled</t>
  </si>
  <si>
    <t>2 hrs</t>
  </si>
  <si>
    <t>Scaling plan created. Schedule configured per Section B (Ramp-Up/Peak/Ramp-Down/Off-Peak). Assigned to E3 host pool.</t>
  </si>
  <si>
    <t>2.2</t>
  </si>
  <si>
    <t>Create Scaling Plan: sp-avd-f1-frontline</t>
  </si>
  <si>
    <t>F1 host pool ready</t>
  </si>
  <si>
    <t>Scaling plan created with retail store hour schedule per Section C. Holiday schedule noted for later configuration.</t>
  </si>
  <si>
    <t>Week 2</t>
  </si>
  <si>
    <t>2.3</t>
  </si>
  <si>
    <t>Enable Diagnostic Settings on both Scaling Plans</t>
  </si>
  <si>
    <t>Log Analytics workspace exists</t>
  </si>
  <si>
    <t>ScalingPlan diagnostic logs flowing to Log Analytics. Verify in Log Analytics: WVDHostRegistrations logs appearing.</t>
  </si>
  <si>
    <t>2.4</t>
  </si>
  <si>
    <t>Validate Scaling Plan with 5-user test</t>
  </si>
  <si>
    <t>Scaling plans assigned</t>
  </si>
  <si>
    <t>Half day</t>
  </si>
  <si>
    <t>Observe scale-out: connect 5 users, verify VMs start. Observe scale-in: disconnect all, verify VMs drain and deallocate after off-peak schedule.</t>
  </si>
  <si>
    <t>Phase 3
Automation</t>
  </si>
  <si>
    <t>Week 2–3</t>
  </si>
  <si>
    <t>3.1</t>
  </si>
  <si>
    <t>Build and import custom Add-AVDSessionHost runbook</t>
  </si>
  <si>
    <t>Automation account configured</t>
  </si>
  <si>
    <t>1 day</t>
  </si>
  <si>
    <t>Runbook tested manually: successfully adds 1 new session host from Compute Gallery image to host pool. Tanium agent registers automatically within 10 mins.</t>
  </si>
  <si>
    <t>3.2</t>
  </si>
  <si>
    <t>Build and import Remove-DrainedAVDSessionHost runbook</t>
  </si>
  <si>
    <t>Add runbook tested</t>
  </si>
  <si>
    <t>Runbook tested: drains VM with 0 sessions, deallocates. VM no longer appears in host pool Available list.</t>
  </si>
  <si>
    <t>Week 3</t>
  </si>
  <si>
    <t>3.3</t>
  </si>
  <si>
    <t>Build auto-healing runbook: Replace-UnhealthyAVDHost</t>
  </si>
  <si>
    <t>Both scale runbooks working</t>
  </si>
  <si>
    <t>1.5 days</t>
  </si>
  <si>
    <t>Test: manually set a session host to Unavailable state. Within 15 mins: runbook drains, removes, and replaces with fresh VM.</t>
  </si>
  <si>
    <t>3.4</t>
  </si>
  <si>
    <t>Tanium graceful shutdown integration</t>
  </si>
  <si>
    <t>Tanium installed on VMs</t>
  </si>
  <si>
    <t>Before VM deallocation: Tanium graceful shutdown confirmed. No ghost VMs in Tanium console after scale-down.</t>
  </si>
  <si>
    <t>Phase 4
Monitoring</t>
  </si>
  <si>
    <t>Week 3–4</t>
  </si>
  <si>
    <t>4.1</t>
  </si>
  <si>
    <t>Build AVD Capacity Dashboard in Azure Monitor Workbooks</t>
  </si>
  <si>
    <t>Log Analytics data flowing</t>
  </si>
  <si>
    <t>Dashboard shows: VM count, active sessions, scaling events, cost per hour. Accessible to IT management.</t>
  </si>
  <si>
    <t>Week 4</t>
  </si>
  <si>
    <t>4.2</t>
  </si>
  <si>
    <t>Configure Cost Anomaly Alert for AVD compute</t>
  </si>
  <si>
    <t>Azure Cost Management</t>
  </si>
  <si>
    <t>Budget alert set at $8K/mo. Test alert fires correctly. On-call notification configured.</t>
  </si>
  <si>
    <t>4.3</t>
  </si>
  <si>
    <t>Configure Holiday Scaling Runbooks + Annual Schedule</t>
  </si>
  <si>
    <t>Scale runbooks working</t>
  </si>
  <si>
    <t>Holiday runbook scheduled for Black Friday (Nov 27 6PM) and post-holiday reversal (Jan 5). Tested with manual trigger.</t>
  </si>
  <si>
    <t>Phase 5
Tune &amp; Handoff</t>
  </si>
  <si>
    <t>Week 4–5</t>
  </si>
  <si>
    <t>5.1</t>
  </si>
  <si>
    <t>2-week live monitoring — tune thresholds</t>
  </si>
  <si>
    <t>All runbooks live</t>
  </si>
  <si>
    <t>2 weeks</t>
  </si>
  <si>
    <t>Review daily: any scaling delays? logon queue &gt; 30s? VMs not scaling down? Adjust capacity threshold ±5% based on real usage data.</t>
  </si>
  <si>
    <t>Week 5</t>
  </si>
  <si>
    <t>5.2</t>
  </si>
  <si>
    <t>Document Scaling Plan operations runbook</t>
  </si>
  <si>
    <t>Tuning complete</t>
  </si>
  <si>
    <t>Operations runbook includes: how to temporarily override scaling (emergency), how to check scaling log in Log Analytics, how to manually trigger holiday scale-out, how to adjust thresholds.</t>
  </si>
  <si>
    <t>5.3</t>
  </si>
  <si>
    <t>Knowledge transfer to IT Ops team</t>
  </si>
  <si>
    <t>Cloud Team → IT Ops</t>
  </si>
  <si>
    <t>Runbook documented</t>
  </si>
  <si>
    <t>IT Ops team can: check scaling health, adjust min/max hosts, trigger manual scale-out. Signing authority and escalation path defined.</t>
  </si>
  <si>
    <t xml:space="preserve">  ▸  H.  CAPACITY REFERENCE — VMs NEEDED PER CONCURRENT SESSION COUNT</t>
  </si>
  <si>
    <t>Concurrent Sessions</t>
  </si>
  <si>
    <t>E3 VMs Required
(D4ds_v5, max 8/VM)</t>
  </si>
  <si>
    <t>F1 VMs Required
(D8ds_v5, max 12/VM)</t>
  </si>
  <si>
    <t>E3 Est. Monthly Cost
(1-yr reserved)</t>
  </si>
  <si>
    <t>F1 Est. Monthly Cost
(1-yr reserved)</t>
  </si>
  <si>
    <t>E3+F1 Combined Cost</t>
  </si>
  <si>
    <t>Scenario</t>
  </si>
  <si>
    <t>POC / Minimal</t>
  </si>
  <si>
    <t>Light usage / off-peak</t>
  </si>
  <si>
    <t>Morning ramp-up</t>
  </si>
  <si>
    <t>Mid-morning peak</t>
  </si>
  <si>
    <t>Peak office hours + stores</t>
  </si>
  <si>
    <t>Maximum expected load</t>
  </si>
  <si>
    <t>Holiday surge / Black Friday</t>
  </si>
  <si>
    <t>Black Friday absolute max — add extra VMs</t>
  </si>
  <si>
    <t>Top 30 recommended settings for Azure Virtual Desktop session hosts | RDP Properties, Timeouts, Redirections, Performance</t>
  </si>
  <si>
    <t>Top 30 FSLogix registry settings, exclusions, and Office Container config | Azure Files Premium | Entra ID Kerberos Auth</t>
  </si>
  <si>
    <t>Monthly &amp; Annual Azure spend by environment, component, and SKU | Update quantities/unit costs to recalculate automatically</t>
  </si>
  <si>
    <t xml:space="preserve">⚡  AVD Auto-Scaling — Capacity Management &amp; Auto-Provisioning Plan </t>
  </si>
  <si>
    <t>🔐  AVD Security Best Practice Settings</t>
  </si>
  <si>
    <t>💰  AVD Cost Tracker — Production Environment</t>
  </si>
  <si>
    <t>🔧  OS &amp; Application Patching Strategy — AVD</t>
  </si>
  <si>
    <t>📁  FSLogix Profile Container Best Practice Settings</t>
  </si>
  <si>
    <t>☁️  AVD Session &amp; RDP Best Practice Settings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</si>
</sst>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
  </numFmts>
  <fonts count="40" x14ac:knownFonts="1">
    <font>
      <sz val="11"/>
      <color theme="1"/>
      <name val="Calibri"/>
      <family val="2"/>
      <charset val="1"/>
    </font>
    <font>
      <b/>
      <sz val="16"/>
      <color rgb="FFFFFFFF"/>
      <name val="Arial"/>
      <charset val="1"/>
    </font>
    <font>
      <i/>
      <sz val="10"/>
      <color rgb="FFA8C4E0"/>
      <name val="Arial"/>
      <charset val="1"/>
    </font>
    <font>
      <b/>
      <sz val="10"/>
      <color rgb="FFFFFFFF"/>
      <name val="Arial"/>
      <charset val="1"/>
    </font>
    <font>
      <b/>
      <sz val="9"/>
      <color rgb="FFFFFFFF"/>
      <name val="Arial"/>
      <charset val="1"/>
    </font>
    <font>
      <sz val="9"/>
      <color rgb="FF0F172A"/>
      <name val="Arial"/>
      <charset val="1"/>
    </font>
    <font>
      <b/>
      <sz val="8"/>
      <color rgb="FFBF6000"/>
      <name val="Arial"/>
      <charset val="1"/>
    </font>
    <font>
      <b/>
      <sz val="8"/>
      <color rgb="FF0096B7"/>
      <name val="Arial"/>
      <charset val="1"/>
    </font>
    <font>
      <b/>
      <sz val="8"/>
      <color rgb="FF1A6B3C"/>
      <name val="Arial"/>
      <charset val="1"/>
    </font>
    <font>
      <b/>
      <sz val="8"/>
      <color rgb="FF1565C0"/>
      <name val="Arial"/>
      <charset val="1"/>
    </font>
    <font>
      <b/>
      <sz val="8"/>
      <color rgb="FF64748B"/>
      <name val="Arial"/>
      <charset val="1"/>
    </font>
    <font>
      <b/>
      <sz val="8"/>
      <color rgb="FFB71C1C"/>
      <name val="Arial"/>
      <charset val="1"/>
    </font>
    <font>
      <b/>
      <sz val="8"/>
      <color rgb="FF4A1D8C"/>
      <name val="Arial"/>
      <charset val="1"/>
    </font>
    <font>
      <b/>
      <sz val="8"/>
      <color rgb="FF6A1493"/>
      <name val="Arial"/>
      <charset val="1"/>
    </font>
    <font>
      <b/>
      <sz val="9"/>
      <color rgb="FF1A6B3C"/>
      <name val="Arial"/>
      <charset val="1"/>
    </font>
    <font>
      <b/>
      <sz val="9"/>
      <color rgb="FFB71C1C"/>
      <name val="Arial"/>
      <charset val="1"/>
    </font>
    <font>
      <b/>
      <sz val="9"/>
      <color rgb="FF0F172A"/>
      <name val="Arial"/>
      <charset val="1"/>
    </font>
    <font>
      <b/>
      <sz val="9"/>
      <color rgb="FF1565C0"/>
      <name val="Arial"/>
      <charset val="1"/>
    </font>
    <font>
      <i/>
      <sz val="8"/>
      <color rgb="FF334155"/>
      <name val="Arial"/>
      <charset val="1"/>
    </font>
    <font>
      <b/>
      <sz val="9"/>
      <color rgb="FF4A1D8C"/>
      <name val="Arial"/>
      <charset val="1"/>
    </font>
    <font>
      <b/>
      <sz val="11"/>
      <color rgb="FFFFFFFF"/>
      <name val="Arial"/>
      <charset val="1"/>
    </font>
    <font>
      <b/>
      <sz val="10"/>
      <color rgb="FFBF6000"/>
      <name val="Arial"/>
      <charset val="1"/>
    </font>
    <font>
      <b/>
      <sz val="12"/>
      <color rgb="FFBF6000"/>
      <name val="Arial"/>
      <charset val="1"/>
    </font>
    <font>
      <b/>
      <sz val="10"/>
      <color rgb="FF1565C0"/>
      <name val="Arial"/>
      <charset val="1"/>
    </font>
    <font>
      <b/>
      <sz val="12"/>
      <color rgb="FF1565C0"/>
      <name val="Arial"/>
      <charset val="1"/>
    </font>
    <font>
      <b/>
      <sz val="10"/>
      <color rgb="FF1A6B3C"/>
      <name val="Arial"/>
      <charset val="1"/>
    </font>
    <font>
      <b/>
      <sz val="12"/>
      <color rgb="FF1A6B3C"/>
      <name val="Arial"/>
      <charset val="1"/>
    </font>
    <font>
      <b/>
      <sz val="10"/>
      <color rgb="FF4A1D8C"/>
      <name val="Arial"/>
      <charset val="1"/>
    </font>
    <font>
      <b/>
      <sz val="12"/>
      <color rgb="FF4A1D8C"/>
      <name val="Arial"/>
      <charset val="1"/>
    </font>
    <font>
      <b/>
      <sz val="10"/>
      <color rgb="FFB71C1C"/>
      <name val="Arial"/>
      <charset val="1"/>
    </font>
    <font>
      <b/>
      <sz val="12"/>
      <color rgb="FFB71C1C"/>
      <name val="Arial"/>
      <charset val="1"/>
    </font>
    <font>
      <b/>
      <sz val="8"/>
      <color rgb="FF4527A0"/>
      <name val="Arial"/>
      <charset val="1"/>
    </font>
    <font>
      <b/>
      <sz val="8"/>
      <color rgb="FF2E7D32"/>
      <name val="Arial"/>
      <charset val="1"/>
    </font>
    <font>
      <b/>
      <sz val="9"/>
      <color rgb="FFBF6000"/>
      <name val="Arial"/>
      <charset val="1"/>
    </font>
    <font>
      <b/>
      <sz val="9"/>
      <color rgb="FF0078D4"/>
      <name val="Arial"/>
      <charset val="1"/>
    </font>
    <font>
      <sz val="8"/>
      <color rgb="FF1565C0"/>
      <name val="Courier New"/>
      <charset val="1"/>
    </font>
    <font>
      <sz val="9"/>
      <color rgb="FF2D4A6E"/>
      <name val="Arial"/>
      <charset val="1"/>
    </font>
    <font>
      <b/>
      <sz val="9"/>
      <color rgb="FF2D4A6E"/>
      <name val="Arial"/>
      <charset val="1"/>
    </font>
    <font>
      <b/>
      <sz val="9"/>
      <color rgb="FF0096B7"/>
      <name val="Arial"/>
      <charset val="1"/>
    </font>
    <font>
      <b/>
      <sz val="9"/>
      <color rgb="FF065F46"/>
      <name val="Arial"/>
      <charset val="1"/>
    </font>
  </fonts>
  <fills count="28">
    <fill>
      <patternFill patternType="none"/>
    </fill>
    <fill>
      <patternFill patternType="gray125"/>
    </fill>
    <fill>
      <patternFill patternType="solid">
        <fgColor rgb="FF0A1628"/>
        <bgColor rgb="FF0F172A"/>
      </patternFill>
    </fill>
    <fill>
      <patternFill patternType="solid">
        <fgColor rgb="FF1E4D8C"/>
        <bgColor rgb="FF2D4A6E"/>
      </patternFill>
    </fill>
    <fill>
      <patternFill patternType="solid">
        <fgColor rgb="FF0078D4"/>
        <bgColor rgb="FF1565C0"/>
      </patternFill>
    </fill>
    <fill>
      <patternFill patternType="solid">
        <fgColor rgb="FF2D4A6E"/>
        <bgColor rgb="FF334155"/>
      </patternFill>
    </fill>
    <fill>
      <patternFill patternType="solid">
        <fgColor rgb="FFFFFFFF"/>
        <bgColor rgb="FFF8FAFC"/>
      </patternFill>
    </fill>
    <fill>
      <patternFill patternType="solid">
        <fgColor rgb="FFFFF8E1"/>
        <bgColor rgb="FFF8FAFC"/>
      </patternFill>
    </fill>
    <fill>
      <patternFill patternType="solid">
        <fgColor rgb="FFF8FAFC"/>
        <bgColor rgb="FFFFFFFF"/>
      </patternFill>
    </fill>
    <fill>
      <patternFill patternType="solid">
        <fgColor rgb="FFE8F5E9"/>
        <bgColor rgb="FFF1F5F9"/>
      </patternFill>
    </fill>
    <fill>
      <patternFill patternType="solid">
        <fgColor rgb="FFF1F5F9"/>
        <bgColor rgb="FFF0F4FF"/>
      </patternFill>
    </fill>
    <fill>
      <patternFill patternType="solid">
        <fgColor rgb="FFFFEBEE"/>
        <bgColor rgb="FFEDE7F6"/>
      </patternFill>
    </fill>
    <fill>
      <patternFill patternType="solid">
        <fgColor rgb="FFEDE9FE"/>
        <bgColor rgb="FFEDE7F6"/>
      </patternFill>
    </fill>
    <fill>
      <patternFill patternType="solid">
        <fgColor rgb="FF4A1D8C"/>
        <bgColor rgb="FF4527A0"/>
      </patternFill>
    </fill>
    <fill>
      <patternFill patternType="solid">
        <fgColor rgb="FF8B1A1A"/>
        <bgColor rgb="FF800000"/>
      </patternFill>
    </fill>
    <fill>
      <patternFill patternType="solid">
        <fgColor rgb="FF1B3A6B"/>
        <bgColor rgb="FF2D4A6E"/>
      </patternFill>
    </fill>
    <fill>
      <patternFill patternType="solid">
        <fgColor rgb="FF1A6B3C"/>
        <bgColor rgb="FF065F46"/>
      </patternFill>
    </fill>
    <fill>
      <patternFill patternType="solid">
        <fgColor rgb="FFBF6000"/>
        <bgColor rgb="FF808000"/>
      </patternFill>
    </fill>
    <fill>
      <patternFill patternType="solid">
        <fgColor rgb="FFE3F2FD"/>
        <bgColor rgb="FFE0F7FA"/>
      </patternFill>
    </fill>
    <fill>
      <patternFill patternType="solid">
        <fgColor rgb="FF1565C0"/>
        <bgColor rgb="FF0078D4"/>
      </patternFill>
    </fill>
    <fill>
      <patternFill patternType="solid">
        <fgColor rgb="FF0096B7"/>
        <bgColor rgb="FF0078D4"/>
      </patternFill>
    </fill>
    <fill>
      <patternFill patternType="solid">
        <fgColor rgb="FFB71C1C"/>
        <bgColor rgb="FF8B1A1A"/>
      </patternFill>
    </fill>
    <fill>
      <patternFill patternType="solid">
        <fgColor rgb="FFEDE7F6"/>
        <bgColor rgb="FFEDE9FE"/>
      </patternFill>
    </fill>
    <fill>
      <patternFill patternType="solid">
        <fgColor rgb="FFE0F7FA"/>
        <bgColor rgb="FFE3F2FD"/>
      </patternFill>
    </fill>
    <fill>
      <patternFill patternType="solid">
        <fgColor rgb="FF00297A"/>
        <bgColor rgb="FF1B3A6B"/>
      </patternFill>
    </fill>
    <fill>
      <patternFill patternType="solid">
        <fgColor rgb="FF065F46"/>
        <bgColor rgb="FF1A6B3C"/>
      </patternFill>
    </fill>
    <fill>
      <patternFill patternType="solid">
        <fgColor rgb="FFF0F4FF"/>
        <bgColor rgb="FFF1F5F9"/>
      </patternFill>
    </fill>
    <fill>
      <patternFill patternType="solid">
        <fgColor rgb="FFD1FAE5"/>
        <bgColor rgb="FFE0F7FA"/>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95">
    <xf numFmtId="0" fontId="0" fillId="0" borderId="0" xfId="0"/>
    <xf numFmtId="0" fontId="25" fillId="9" borderId="1" xfId="0" applyFont="1" applyFill="1" applyBorder="1" applyAlignment="1">
      <alignment horizontal="left" vertical="center"/>
    </xf>
    <xf numFmtId="0" fontId="23" fillId="18" borderId="1" xfId="0" applyFont="1" applyFill="1" applyBorder="1" applyAlignment="1">
      <alignment horizontal="left" vertical="center"/>
    </xf>
    <xf numFmtId="0" fontId="21" fillId="7" borderId="1" xfId="0" applyFont="1" applyFill="1" applyBorder="1" applyAlignment="1">
      <alignment horizontal="left" vertical="center"/>
    </xf>
    <xf numFmtId="0" fontId="20" fillId="2" borderId="0" xfId="0" applyFont="1" applyFill="1" applyAlignment="1">
      <alignment horizontal="left" vertical="center"/>
    </xf>
    <xf numFmtId="0" fontId="4" fillId="21" borderId="0" xfId="0" applyFont="1" applyFill="1" applyAlignment="1">
      <alignment horizontal="left" vertical="center"/>
    </xf>
    <xf numFmtId="0" fontId="4" fillId="20" borderId="0" xfId="0" applyFont="1" applyFill="1" applyAlignment="1">
      <alignment horizontal="left" vertical="center"/>
    </xf>
    <xf numFmtId="0" fontId="4" fillId="19" borderId="0" xfId="0" applyFont="1" applyFill="1" applyAlignment="1">
      <alignment horizontal="left" vertical="center"/>
    </xf>
    <xf numFmtId="0" fontId="4" fillId="17" borderId="0" xfId="0" applyFont="1" applyFill="1" applyAlignment="1">
      <alignment horizontal="left" vertical="center"/>
    </xf>
    <xf numFmtId="0" fontId="4" fillId="15" borderId="0" xfId="0" applyFont="1" applyFill="1" applyAlignment="1">
      <alignment horizontal="left" vertical="center"/>
    </xf>
    <xf numFmtId="0" fontId="4" fillId="14" borderId="0" xfId="0" applyFont="1" applyFill="1" applyAlignment="1">
      <alignment horizontal="left" vertical="center"/>
    </xf>
    <xf numFmtId="0" fontId="4" fillId="13" borderId="0" xfId="0" applyFont="1" applyFill="1" applyAlignment="1">
      <alignment horizontal="left" vertical="center"/>
    </xf>
    <xf numFmtId="0" fontId="4" fillId="5" borderId="0" xfId="0" applyFont="1" applyFill="1" applyAlignment="1">
      <alignment horizontal="left" vertical="center"/>
    </xf>
    <xf numFmtId="0" fontId="2" fillId="3" borderId="0" xfId="0" applyFont="1" applyFill="1" applyAlignment="1">
      <alignment horizontal="left" vertical="center"/>
    </xf>
    <xf numFmtId="0" fontId="1" fillId="2" borderId="0" xfId="0" applyFont="1" applyFill="1" applyAlignment="1">
      <alignment horizontal="left" vertical="center"/>
    </xf>
    <xf numFmtId="0" fontId="3" fillId="4" borderId="1" xfId="0" applyFont="1" applyFill="1" applyBorder="1" applyAlignment="1">
      <alignment horizontal="center" vertical="center"/>
    </xf>
    <xf numFmtId="0" fontId="5" fillId="6" borderId="1" xfId="0" applyFont="1" applyFill="1" applyBorder="1" applyAlignment="1">
      <alignment horizontal="left" vertical="center" wrapText="1"/>
    </xf>
    <xf numFmtId="0" fontId="6" fillId="7" borderId="1" xfId="0" applyFont="1" applyFill="1" applyBorder="1" applyAlignment="1">
      <alignment horizontal="center" vertical="center"/>
    </xf>
    <xf numFmtId="0" fontId="7" fillId="6" borderId="1" xfId="0" applyFont="1" applyFill="1" applyBorder="1" applyAlignment="1">
      <alignment horizontal="center" vertical="center"/>
    </xf>
    <xf numFmtId="0" fontId="5" fillId="8"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8" fillId="9" borderId="1" xfId="0" applyFont="1" applyFill="1" applyBorder="1" applyAlignment="1">
      <alignment horizontal="center" vertical="center"/>
    </xf>
    <xf numFmtId="0" fontId="9" fillId="6" borderId="1" xfId="0" applyFont="1" applyFill="1" applyBorder="1" applyAlignment="1">
      <alignment horizontal="center" vertical="center"/>
    </xf>
    <xf numFmtId="0" fontId="10" fillId="10" borderId="1" xfId="0" applyFont="1" applyFill="1" applyBorder="1" applyAlignment="1">
      <alignment horizontal="center" vertical="center"/>
    </xf>
    <xf numFmtId="0" fontId="11" fillId="11" borderId="1" xfId="0" applyFont="1" applyFill="1" applyBorder="1" applyAlignment="1">
      <alignment horizontal="center" vertical="center"/>
    </xf>
    <xf numFmtId="0" fontId="11" fillId="6" borderId="1" xfId="0" applyFont="1" applyFill="1" applyBorder="1" applyAlignment="1">
      <alignment horizontal="center" vertical="center"/>
    </xf>
    <xf numFmtId="0" fontId="12" fillId="12" borderId="1" xfId="0" applyFont="1" applyFill="1" applyBorder="1" applyAlignment="1">
      <alignment horizontal="center" vertical="center"/>
    </xf>
    <xf numFmtId="0" fontId="13" fillId="6" borderId="1" xfId="0" applyFont="1" applyFill="1" applyBorder="1" applyAlignment="1">
      <alignment horizontal="center" vertical="center"/>
    </xf>
    <xf numFmtId="0" fontId="3" fillId="13" borderId="1" xfId="0" applyFont="1" applyFill="1" applyBorder="1" applyAlignment="1">
      <alignment horizontal="center" vertical="center"/>
    </xf>
    <xf numFmtId="0" fontId="14" fillId="9" borderId="1" xfId="0" applyFont="1" applyFill="1" applyBorder="1" applyAlignment="1">
      <alignment horizontal="center" vertical="center"/>
    </xf>
    <xf numFmtId="0" fontId="15" fillId="11" borderId="1" xfId="0" applyFont="1" applyFill="1" applyBorder="1" applyAlignment="1">
      <alignment horizontal="center" vertical="center"/>
    </xf>
    <xf numFmtId="0" fontId="3" fillId="14" borderId="1" xfId="0" applyFont="1" applyFill="1" applyBorder="1" applyAlignment="1">
      <alignment horizontal="center" vertical="center"/>
    </xf>
    <xf numFmtId="0" fontId="3" fillId="16" borderId="1" xfId="0" applyFont="1" applyFill="1" applyBorder="1" applyAlignment="1">
      <alignment horizontal="center" vertical="center"/>
    </xf>
    <xf numFmtId="0" fontId="16" fillId="6"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164" fontId="17" fillId="18" borderId="1" xfId="0" applyNumberFormat="1" applyFont="1" applyFill="1" applyBorder="1" applyAlignment="1">
      <alignment horizontal="center" vertical="center"/>
    </xf>
    <xf numFmtId="164" fontId="14" fillId="9" borderId="1" xfId="0" applyNumberFormat="1" applyFont="1" applyFill="1" applyBorder="1" applyAlignment="1">
      <alignment horizontal="center" vertical="center"/>
    </xf>
    <xf numFmtId="0" fontId="6" fillId="6" borderId="1" xfId="0" applyFont="1" applyFill="1" applyBorder="1" applyAlignment="1">
      <alignment horizontal="center" vertical="center"/>
    </xf>
    <xf numFmtId="0" fontId="18" fillId="6" borderId="1" xfId="0" applyFont="1" applyFill="1" applyBorder="1" applyAlignment="1">
      <alignment horizontal="left" vertical="center" wrapText="1"/>
    </xf>
    <xf numFmtId="0" fontId="16" fillId="8" borderId="1" xfId="0" applyFont="1" applyFill="1" applyBorder="1" applyAlignment="1">
      <alignment horizontal="left" vertical="center" wrapText="1"/>
    </xf>
    <xf numFmtId="0" fontId="5" fillId="8" borderId="1" xfId="0" applyFont="1" applyFill="1" applyBorder="1" applyAlignment="1">
      <alignment horizontal="center" vertical="center" wrapText="1"/>
    </xf>
    <xf numFmtId="0" fontId="6" fillId="8" borderId="1" xfId="0" applyFont="1" applyFill="1" applyBorder="1" applyAlignment="1">
      <alignment horizontal="center" vertical="center"/>
    </xf>
    <xf numFmtId="0" fontId="18" fillId="8" borderId="1" xfId="0" applyFont="1" applyFill="1" applyBorder="1" applyAlignment="1">
      <alignment horizontal="left" vertical="center" wrapText="1"/>
    </xf>
    <xf numFmtId="0" fontId="10" fillId="6" borderId="1" xfId="0" applyFont="1" applyFill="1" applyBorder="1" applyAlignment="1">
      <alignment horizontal="center" vertical="center"/>
    </xf>
    <xf numFmtId="0" fontId="10" fillId="8" borderId="1" xfId="0" applyFont="1" applyFill="1" applyBorder="1" applyAlignment="1">
      <alignment horizontal="center" vertical="center"/>
    </xf>
    <xf numFmtId="0" fontId="8" fillId="8" borderId="1" xfId="0" applyFont="1" applyFill="1" applyBorder="1" applyAlignment="1">
      <alignment horizontal="center" vertical="center"/>
    </xf>
    <xf numFmtId="0" fontId="9" fillId="18" borderId="1" xfId="0" applyFont="1" applyFill="1" applyBorder="1" applyAlignment="1">
      <alignment horizontal="center" vertical="center"/>
    </xf>
    <xf numFmtId="164" fontId="19" fillId="12" borderId="1" xfId="0" applyNumberFormat="1" applyFont="1" applyFill="1" applyBorder="1" applyAlignment="1">
      <alignment horizontal="center" vertical="center"/>
    </xf>
    <xf numFmtId="0" fontId="0" fillId="2" borderId="0" xfId="0" applyFill="1"/>
    <xf numFmtId="165" fontId="22" fillId="7" borderId="1" xfId="0" applyNumberFormat="1" applyFont="1" applyFill="1" applyBorder="1" applyAlignment="1">
      <alignment horizontal="center" vertical="center"/>
    </xf>
    <xf numFmtId="0" fontId="0" fillId="7" borderId="1" xfId="0" applyFill="1" applyBorder="1"/>
    <xf numFmtId="165" fontId="24" fillId="18" borderId="1" xfId="0" applyNumberFormat="1" applyFont="1" applyFill="1" applyBorder="1" applyAlignment="1">
      <alignment horizontal="center" vertical="center"/>
    </xf>
    <xf numFmtId="0" fontId="0" fillId="18" borderId="1" xfId="0" applyFill="1" applyBorder="1"/>
    <xf numFmtId="165" fontId="26" fillId="9" borderId="1" xfId="0" applyNumberFormat="1" applyFont="1" applyFill="1" applyBorder="1" applyAlignment="1">
      <alignment horizontal="center" vertical="center"/>
    </xf>
    <xf numFmtId="0" fontId="0" fillId="9" borderId="1" xfId="0" applyFill="1" applyBorder="1"/>
    <xf numFmtId="165" fontId="28" fillId="12" borderId="1" xfId="0" applyNumberFormat="1" applyFont="1" applyFill="1" applyBorder="1" applyAlignment="1">
      <alignment horizontal="center" vertical="center"/>
    </xf>
    <xf numFmtId="0" fontId="0" fillId="12" borderId="1" xfId="0" applyFill="1" applyBorder="1"/>
    <xf numFmtId="165" fontId="30" fillId="11" borderId="1" xfId="0" applyNumberFormat="1" applyFont="1" applyFill="1" applyBorder="1" applyAlignment="1">
      <alignment horizontal="center" vertical="center"/>
    </xf>
    <xf numFmtId="0" fontId="0" fillId="11" borderId="1" xfId="0" applyFill="1" applyBorder="1"/>
    <xf numFmtId="0" fontId="3" fillId="21" borderId="1" xfId="0" applyFont="1" applyFill="1" applyBorder="1" applyAlignment="1">
      <alignment horizontal="center" vertical="center"/>
    </xf>
    <xf numFmtId="0" fontId="31" fillId="22" borderId="1" xfId="0" applyFont="1" applyFill="1" applyBorder="1" applyAlignment="1">
      <alignment horizontal="center" vertical="center"/>
    </xf>
    <xf numFmtId="0" fontId="7" fillId="23" borderId="1" xfId="0" applyFont="1" applyFill="1" applyBorder="1" applyAlignment="1">
      <alignment horizontal="center" vertical="center"/>
    </xf>
    <xf numFmtId="0" fontId="32" fillId="9" borderId="1" xfId="0" applyFont="1" applyFill="1" applyBorder="1" applyAlignment="1">
      <alignment horizontal="center" vertical="center"/>
    </xf>
    <xf numFmtId="0" fontId="4" fillId="25" borderId="1" xfId="0" applyFont="1" applyFill="1" applyBorder="1" applyAlignment="1">
      <alignment horizontal="center" vertical="center"/>
    </xf>
    <xf numFmtId="0" fontId="33" fillId="7" borderId="1" xfId="0" applyFont="1" applyFill="1" applyBorder="1" applyAlignment="1">
      <alignment horizontal="center" vertical="center" wrapText="1"/>
    </xf>
    <xf numFmtId="0" fontId="4" fillId="19" borderId="1" xfId="0" applyFont="1" applyFill="1" applyBorder="1" applyAlignment="1">
      <alignment horizontal="center" vertical="center"/>
    </xf>
    <xf numFmtId="0" fontId="33" fillId="7" borderId="1" xfId="0" applyFont="1" applyFill="1" applyBorder="1" applyAlignment="1">
      <alignment horizontal="center" vertical="center"/>
    </xf>
    <xf numFmtId="0" fontId="16" fillId="10"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7" fillId="18"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0" fontId="34" fillId="18" borderId="1" xfId="0" applyFont="1" applyFill="1" applyBorder="1" applyAlignment="1">
      <alignment horizontal="center" vertical="center"/>
    </xf>
    <xf numFmtId="0" fontId="16" fillId="6" borderId="1" xfId="0" applyFont="1" applyFill="1" applyBorder="1" applyAlignment="1">
      <alignment horizontal="center" vertical="center"/>
    </xf>
    <xf numFmtId="0" fontId="4" fillId="17"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3" borderId="1" xfId="0" applyFont="1" applyFill="1" applyBorder="1" applyAlignment="1">
      <alignment horizontal="center" vertical="center"/>
    </xf>
    <xf numFmtId="0" fontId="35" fillId="26" borderId="1" xfId="0" applyFont="1" applyFill="1" applyBorder="1" applyAlignment="1">
      <alignment horizontal="left" vertical="center" wrapText="1"/>
    </xf>
    <xf numFmtId="0" fontId="19" fillId="12" borderId="1" xfId="0" applyFont="1" applyFill="1" applyBorder="1" applyAlignment="1">
      <alignment horizontal="center" vertical="center" wrapText="1"/>
    </xf>
    <xf numFmtId="0" fontId="36" fillId="10" borderId="1" xfId="0" applyFont="1" applyFill="1" applyBorder="1" applyAlignment="1">
      <alignment horizontal="center" vertical="center" wrapText="1"/>
    </xf>
    <xf numFmtId="0" fontId="15" fillId="11" borderId="1" xfId="0" applyFont="1" applyFill="1" applyBorder="1" applyAlignment="1">
      <alignment horizontal="center" vertical="center" wrapText="1"/>
    </xf>
    <xf numFmtId="0" fontId="4" fillId="21" borderId="1" xfId="0" applyFont="1" applyFill="1" applyBorder="1" applyAlignment="1">
      <alignment horizontal="center" vertical="center"/>
    </xf>
    <xf numFmtId="0" fontId="4" fillId="2" borderId="1" xfId="0" applyFont="1" applyFill="1" applyBorder="1" applyAlignment="1">
      <alignment horizontal="center" vertical="center"/>
    </xf>
    <xf numFmtId="0" fontId="34" fillId="18" borderId="1" xfId="0" applyFont="1" applyFill="1" applyBorder="1" applyAlignment="1">
      <alignment horizontal="center" vertical="center" wrapText="1"/>
    </xf>
    <xf numFmtId="0" fontId="37" fillId="10" borderId="1" xfId="0" applyFont="1" applyFill="1" applyBorder="1" applyAlignment="1">
      <alignment horizontal="center" vertical="center" wrapText="1"/>
    </xf>
    <xf numFmtId="0" fontId="38" fillId="23" borderId="1" xfId="0" applyFont="1" applyFill="1" applyBorder="1" applyAlignment="1">
      <alignment horizontal="center" vertical="center" wrapText="1"/>
    </xf>
    <xf numFmtId="0" fontId="4" fillId="25" borderId="1" xfId="0" applyFont="1" applyFill="1" applyBorder="1" applyAlignment="1">
      <alignment horizontal="center" vertical="center" wrapText="1"/>
    </xf>
    <xf numFmtId="165" fontId="14" fillId="9" borderId="1" xfId="0" applyNumberFormat="1" applyFont="1" applyFill="1" applyBorder="1" applyAlignment="1">
      <alignment horizontal="center" vertical="center"/>
    </xf>
    <xf numFmtId="165" fontId="39" fillId="27" borderId="1" xfId="0" applyNumberFormat="1" applyFont="1" applyFill="1" applyBorder="1" applyAlignment="1">
      <alignment horizontal="center" vertical="center"/>
    </xf>
    <xf numFmtId="0" fontId="27" fillId="12" borderId="1" xfId="0" applyFont="1" applyFill="1" applyBorder="1" applyAlignment="1">
      <alignment horizontal="left" vertical="center"/>
    </xf>
    <xf numFmtId="0" fontId="29" fillId="11" borderId="1" xfId="0" applyFont="1" applyFill="1" applyBorder="1" applyAlignment="1">
      <alignment horizontal="left" vertical="center"/>
    </xf>
    <xf numFmtId="0" fontId="4" fillId="24" borderId="0" xfId="0" applyFont="1" applyFill="1" applyAlignment="1">
      <alignment horizontal="left" vertical="center"/>
    </xf>
    <xf numFmtId="0" fontId="4" fillId="2" borderId="0" xfId="0" applyFont="1" applyFill="1" applyAlignment="1">
      <alignment horizontal="left" vertical="center"/>
    </xf>
    <xf numFmtId="0" fontId="4" fillId="3" borderId="0" xfId="0" applyFont="1" applyFill="1" applyAlignment="1">
      <alignment horizontal="left" vertical="center"/>
    </xf>
    <xf numFmtId="0" fontId="4" fillId="25"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1F5F9"/>
      <rgbColor rgb="FFFF00FF"/>
      <rgbColor rgb="FF00FFFF"/>
      <rgbColor rgb="FF800000"/>
      <rgbColor rgb="FF1A6B3C"/>
      <rgbColor rgb="FF1B3A6B"/>
      <rgbColor rgb="FF808000"/>
      <rgbColor rgb="FF6A1493"/>
      <rgbColor rgb="FF0096B7"/>
      <rgbColor rgb="FFEDE7F6"/>
      <rgbColor rgb="FF065F46"/>
      <rgbColor rgb="FF9999FF"/>
      <rgbColor rgb="FFB71C1C"/>
      <rgbColor rgb="FFFFF8E1"/>
      <rgbColor rgb="FFE0F7FA"/>
      <rgbColor rgb="FF4A1D8C"/>
      <rgbColor rgb="FFFF8080"/>
      <rgbColor rgb="FF1565C0"/>
      <rgbColor rgb="FFCBD5E1"/>
      <rgbColor rgb="FF000080"/>
      <rgbColor rgb="FFFF00FF"/>
      <rgbColor rgb="FFF8FAFC"/>
      <rgbColor rgb="FF00FFFF"/>
      <rgbColor rgb="FF7B1FA2"/>
      <rgbColor rgb="FF800000"/>
      <rgbColor rgb="FF0078D4"/>
      <rgbColor rgb="FF0000FF"/>
      <rgbColor rgb="FF00CCFF"/>
      <rgbColor rgb="FFE3F2FD"/>
      <rgbColor rgb="FFD1FAE5"/>
      <rgbColor rgb="FFE8F5E9"/>
      <rgbColor rgb="FFA8C4E0"/>
      <rgbColor rgb="FFF0F4FF"/>
      <rgbColor rgb="FFEDE9FE"/>
      <rgbColor rgb="FFFFEBEE"/>
      <rgbColor rgb="FF1E4D8C"/>
      <rgbColor rgb="FF33CCCC"/>
      <rgbColor rgb="FF99CC00"/>
      <rgbColor rgb="FFFFCC00"/>
      <rgbColor rgb="FFFF9900"/>
      <rgbColor rgb="FFBF6000"/>
      <rgbColor rgb="FF64748B"/>
      <rgbColor rgb="FF969696"/>
      <rgbColor rgb="FF00297A"/>
      <rgbColor rgb="FF2E7D32"/>
      <rgbColor rgb="FF0A1628"/>
      <rgbColor rgb="FF0F172A"/>
      <rgbColor rgb="FF8B1A1A"/>
      <rgbColor rgb="FF2D4A6E"/>
      <rgbColor rgb="FF4527A0"/>
      <rgbColor rgb="FF3341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8D4"/>
  </sheetPr>
  <dimension ref="A1:J40"/>
  <sheetViews>
    <sheetView tabSelected="1" zoomScaleNormal="100" workbookViewId="0">
      <pane xSplit="1" ySplit="3" topLeftCell="B10" activePane="bottomRight" state="frozen"/>
      <selection pane="topRight" activeCell="B1" sqref="B1"/>
      <selection pane="bottomLeft" activeCell="A4" sqref="A4"/>
      <selection pane="bottomRight" activeCell="D18" sqref="D18"/>
    </sheetView>
  </sheetViews>
  <sheetFormatPr defaultColWidth="8.7109375" defaultRowHeight="15" x14ac:dyDescent="0.25"/>
  <cols>
    <col min="1" max="1" width="3" bestFit="1" customWidth="1"/>
    <col min="2" max="2" width="25.7109375" bestFit="1" customWidth="1"/>
    <col min="3" max="3" width="29.28515625" bestFit="1" customWidth="1"/>
    <col min="4" max="4" width="29.7109375" bestFit="1" customWidth="1"/>
    <col min="5" max="5" width="16" bestFit="1" customWidth="1"/>
    <col min="6" max="6" width="8.28515625" bestFit="1" customWidth="1"/>
    <col min="7" max="7" width="14" customWidth="1"/>
    <col min="8" max="8" width="56.5703125" bestFit="1" customWidth="1"/>
    <col min="9" max="9" width="30" customWidth="1"/>
  </cols>
  <sheetData>
    <row r="1" spans="1:10" ht="20.25" x14ac:dyDescent="0.25">
      <c r="A1" s="14" t="s">
        <v>1217</v>
      </c>
      <c r="B1" s="14"/>
      <c r="C1" s="14"/>
      <c r="D1" s="14"/>
      <c r="E1" s="14"/>
      <c r="F1" s="14"/>
      <c r="G1" s="14"/>
      <c r="H1" s="14"/>
      <c r="I1" s="14"/>
      <c r="J1" s="14"/>
    </row>
    <row r="2" spans="1:10" x14ac:dyDescent="0.25">
      <c r="A2" s="13" t="s">
        <v>1209</v>
      </c>
      <c r="B2" s="13"/>
      <c r="C2" s="13"/>
      <c r="D2" s="13"/>
      <c r="E2" s="13"/>
      <c r="F2" s="13"/>
      <c r="G2" s="13"/>
      <c r="H2" s="13"/>
      <c r="I2" s="13"/>
      <c r="J2" s="13"/>
    </row>
    <row r="3" spans="1:10" x14ac:dyDescent="0.25">
      <c r="A3" s="15" t="s">
        <v>0</v>
      </c>
      <c r="B3" s="15" t="s">
        <v>1</v>
      </c>
      <c r="C3" s="15" t="s">
        <v>2</v>
      </c>
      <c r="D3" s="15" t="s">
        <v>3</v>
      </c>
      <c r="E3" s="15" t="s">
        <v>4</v>
      </c>
      <c r="F3" s="15" t="s">
        <v>5</v>
      </c>
      <c r="G3" s="15" t="s">
        <v>6</v>
      </c>
      <c r="H3" s="15" t="s">
        <v>7</v>
      </c>
      <c r="I3" s="15" t="s">
        <v>8</v>
      </c>
    </row>
    <row r="4" spans="1:10" x14ac:dyDescent="0.25">
      <c r="A4" s="12" t="s">
        <v>9</v>
      </c>
      <c r="B4" s="12"/>
      <c r="C4" s="12"/>
      <c r="D4" s="12"/>
      <c r="E4" s="12"/>
      <c r="F4" s="12"/>
      <c r="G4" s="12"/>
      <c r="H4" s="12"/>
      <c r="I4" s="12"/>
    </row>
    <row r="5" spans="1:10" ht="36" x14ac:dyDescent="0.25">
      <c r="A5" s="16">
        <v>1</v>
      </c>
      <c r="B5" s="16" t="s">
        <v>10</v>
      </c>
      <c r="C5" s="16" t="s">
        <v>11</v>
      </c>
      <c r="D5" s="16" t="s">
        <v>12</v>
      </c>
      <c r="E5" s="16" t="s">
        <v>13</v>
      </c>
      <c r="F5" s="17" t="s">
        <v>14</v>
      </c>
      <c r="G5" s="18" t="s">
        <v>15</v>
      </c>
      <c r="H5" s="16" t="s">
        <v>16</v>
      </c>
      <c r="I5" s="16" t="s">
        <v>17</v>
      </c>
    </row>
    <row r="6" spans="1:10" ht="36" x14ac:dyDescent="0.25">
      <c r="A6" s="19">
        <v>2</v>
      </c>
      <c r="B6" s="19" t="s">
        <v>18</v>
      </c>
      <c r="C6" s="19" t="s">
        <v>19</v>
      </c>
      <c r="D6" s="19" t="s">
        <v>20</v>
      </c>
      <c r="E6" s="19" t="s">
        <v>13</v>
      </c>
      <c r="F6" s="17" t="s">
        <v>14</v>
      </c>
      <c r="G6" s="20" t="s">
        <v>21</v>
      </c>
      <c r="H6" s="19" t="s">
        <v>22</v>
      </c>
      <c r="I6" s="19" t="s">
        <v>23</v>
      </c>
    </row>
    <row r="7" spans="1:10" ht="36" x14ac:dyDescent="0.25">
      <c r="A7" s="16">
        <v>3</v>
      </c>
      <c r="B7" s="16" t="s">
        <v>24</v>
      </c>
      <c r="C7" s="16" t="s">
        <v>25</v>
      </c>
      <c r="D7" s="16" t="s">
        <v>26</v>
      </c>
      <c r="E7" s="16" t="s">
        <v>27</v>
      </c>
      <c r="F7" s="21" t="s">
        <v>28</v>
      </c>
      <c r="G7" s="20" t="s">
        <v>21</v>
      </c>
      <c r="H7" s="16" t="s">
        <v>29</v>
      </c>
      <c r="I7" s="16" t="s">
        <v>30</v>
      </c>
    </row>
    <row r="8" spans="1:10" ht="36" x14ac:dyDescent="0.25">
      <c r="A8" s="19">
        <v>4</v>
      </c>
      <c r="B8" s="19" t="s">
        <v>31</v>
      </c>
      <c r="C8" s="19" t="s">
        <v>32</v>
      </c>
      <c r="D8" s="19" t="s">
        <v>33</v>
      </c>
      <c r="E8" s="19" t="s">
        <v>34</v>
      </c>
      <c r="F8" s="17" t="s">
        <v>14</v>
      </c>
      <c r="G8" s="18" t="s">
        <v>15</v>
      </c>
      <c r="H8" s="19" t="s">
        <v>35</v>
      </c>
      <c r="I8" s="19" t="s">
        <v>36</v>
      </c>
    </row>
    <row r="9" spans="1:10" ht="36" x14ac:dyDescent="0.25">
      <c r="A9" s="16">
        <v>5</v>
      </c>
      <c r="B9" s="16" t="s">
        <v>37</v>
      </c>
      <c r="C9" s="16" t="s">
        <v>38</v>
      </c>
      <c r="D9" s="16" t="s">
        <v>39</v>
      </c>
      <c r="E9" s="16" t="s">
        <v>40</v>
      </c>
      <c r="F9" s="21" t="s">
        <v>28</v>
      </c>
      <c r="G9" s="20" t="s">
        <v>21</v>
      </c>
      <c r="H9" s="16" t="s">
        <v>41</v>
      </c>
      <c r="I9" s="16" t="s">
        <v>42</v>
      </c>
    </row>
    <row r="10" spans="1:10" x14ac:dyDescent="0.25">
      <c r="A10" s="12" t="s">
        <v>43</v>
      </c>
      <c r="B10" s="12"/>
      <c r="C10" s="12"/>
      <c r="D10" s="12"/>
      <c r="E10" s="12"/>
      <c r="F10" s="12"/>
      <c r="G10" s="12"/>
      <c r="H10" s="12"/>
      <c r="I10" s="12"/>
    </row>
    <row r="11" spans="1:10" ht="36" x14ac:dyDescent="0.25">
      <c r="A11" s="19">
        <v>6</v>
      </c>
      <c r="B11" s="19" t="s">
        <v>44</v>
      </c>
      <c r="C11" s="19" t="s">
        <v>45</v>
      </c>
      <c r="D11" s="19" t="s">
        <v>46</v>
      </c>
      <c r="E11" s="19" t="s">
        <v>47</v>
      </c>
      <c r="F11" s="21" t="s">
        <v>28</v>
      </c>
      <c r="G11" s="22" t="s">
        <v>48</v>
      </c>
      <c r="H11" s="19" t="s">
        <v>49</v>
      </c>
      <c r="I11" s="19" t="s">
        <v>36</v>
      </c>
    </row>
    <row r="12" spans="1:10" ht="36" x14ac:dyDescent="0.25">
      <c r="A12" s="16">
        <v>7</v>
      </c>
      <c r="B12" s="16" t="s">
        <v>50</v>
      </c>
      <c r="C12" s="16" t="s">
        <v>51</v>
      </c>
      <c r="D12" s="16" t="s">
        <v>52</v>
      </c>
      <c r="E12" s="16" t="s">
        <v>53</v>
      </c>
      <c r="F12" s="21" t="s">
        <v>28</v>
      </c>
      <c r="G12" s="18" t="s">
        <v>15</v>
      </c>
      <c r="H12" s="16" t="s">
        <v>54</v>
      </c>
      <c r="I12" s="16" t="s">
        <v>55</v>
      </c>
    </row>
    <row r="13" spans="1:10" ht="36" x14ac:dyDescent="0.25">
      <c r="A13" s="19">
        <v>8</v>
      </c>
      <c r="B13" s="19" t="s">
        <v>56</v>
      </c>
      <c r="C13" s="19" t="s">
        <v>57</v>
      </c>
      <c r="D13" s="19" t="s">
        <v>58</v>
      </c>
      <c r="E13" s="19" t="s">
        <v>59</v>
      </c>
      <c r="F13" s="23" t="s">
        <v>60</v>
      </c>
      <c r="G13" s="22" t="s">
        <v>48</v>
      </c>
      <c r="H13" s="19" t="s">
        <v>61</v>
      </c>
      <c r="I13" s="19" t="s">
        <v>36</v>
      </c>
    </row>
    <row r="14" spans="1:10" ht="48" x14ac:dyDescent="0.25">
      <c r="A14" s="16">
        <v>9</v>
      </c>
      <c r="B14" s="16" t="s">
        <v>62</v>
      </c>
      <c r="C14" s="16" t="s">
        <v>63</v>
      </c>
      <c r="D14" s="16" t="s">
        <v>64</v>
      </c>
      <c r="E14" s="16" t="s">
        <v>59</v>
      </c>
      <c r="F14" s="17" t="s">
        <v>14</v>
      </c>
      <c r="G14" s="22" t="s">
        <v>48</v>
      </c>
      <c r="H14" s="16" t="s">
        <v>65</v>
      </c>
      <c r="I14" s="16" t="s">
        <v>66</v>
      </c>
    </row>
    <row r="15" spans="1:10" ht="48" x14ac:dyDescent="0.25">
      <c r="A15" s="19">
        <v>10</v>
      </c>
      <c r="B15" s="19" t="s">
        <v>67</v>
      </c>
      <c r="C15" s="19" t="s">
        <v>68</v>
      </c>
      <c r="D15" s="19" t="s">
        <v>69</v>
      </c>
      <c r="E15" s="19" t="s">
        <v>70</v>
      </c>
      <c r="F15" s="24" t="s">
        <v>71</v>
      </c>
      <c r="G15" s="22" t="s">
        <v>48</v>
      </c>
      <c r="H15" s="19" t="s">
        <v>72</v>
      </c>
      <c r="I15" s="19" t="s">
        <v>73</v>
      </c>
    </row>
    <row r="16" spans="1:10" x14ac:dyDescent="0.25">
      <c r="A16" s="12" t="s">
        <v>74</v>
      </c>
      <c r="B16" s="12"/>
      <c r="C16" s="12"/>
      <c r="D16" s="12"/>
      <c r="E16" s="12"/>
      <c r="F16" s="12"/>
      <c r="G16" s="12"/>
      <c r="H16" s="12"/>
      <c r="I16" s="12"/>
    </row>
    <row r="17" spans="1:9" ht="48" x14ac:dyDescent="0.25">
      <c r="A17" s="16">
        <v>11</v>
      </c>
      <c r="B17" s="16" t="s">
        <v>75</v>
      </c>
      <c r="C17" s="16" t="s">
        <v>76</v>
      </c>
      <c r="D17" s="16" t="s">
        <v>77</v>
      </c>
      <c r="E17" s="16" t="s">
        <v>78</v>
      </c>
      <c r="F17" s="17" t="s">
        <v>14</v>
      </c>
      <c r="G17" s="25" t="s">
        <v>79</v>
      </c>
      <c r="H17" s="16" t="s">
        <v>80</v>
      </c>
      <c r="I17" s="16" t="s">
        <v>36</v>
      </c>
    </row>
    <row r="18" spans="1:9" ht="36" x14ac:dyDescent="0.25">
      <c r="A18" s="19">
        <v>12</v>
      </c>
      <c r="B18" s="19" t="s">
        <v>81</v>
      </c>
      <c r="C18" s="19" t="s">
        <v>82</v>
      </c>
      <c r="D18" s="19" t="s">
        <v>83</v>
      </c>
      <c r="E18" s="19" t="s">
        <v>78</v>
      </c>
      <c r="F18" s="17" t="s">
        <v>14</v>
      </c>
      <c r="G18" s="25" t="s">
        <v>79</v>
      </c>
      <c r="H18" s="19" t="s">
        <v>84</v>
      </c>
      <c r="I18" s="19" t="s">
        <v>36</v>
      </c>
    </row>
    <row r="19" spans="1:9" ht="48" x14ac:dyDescent="0.25">
      <c r="A19" s="16">
        <v>13</v>
      </c>
      <c r="B19" s="16" t="s">
        <v>85</v>
      </c>
      <c r="C19" s="16" t="s">
        <v>86</v>
      </c>
      <c r="D19" s="16" t="s">
        <v>87</v>
      </c>
      <c r="E19" s="16" t="s">
        <v>78</v>
      </c>
      <c r="F19" s="21" t="s">
        <v>28</v>
      </c>
      <c r="G19" s="18" t="s">
        <v>15</v>
      </c>
      <c r="H19" s="16" t="s">
        <v>88</v>
      </c>
      <c r="I19" s="16" t="s">
        <v>89</v>
      </c>
    </row>
    <row r="20" spans="1:9" ht="48" x14ac:dyDescent="0.25">
      <c r="A20" s="19">
        <v>14</v>
      </c>
      <c r="B20" s="19" t="s">
        <v>90</v>
      </c>
      <c r="C20" s="19" t="s">
        <v>91</v>
      </c>
      <c r="D20" s="19" t="s">
        <v>92</v>
      </c>
      <c r="E20" s="19" t="s">
        <v>93</v>
      </c>
      <c r="F20" s="17" t="s">
        <v>14</v>
      </c>
      <c r="G20" s="25" t="s">
        <v>79</v>
      </c>
      <c r="H20" s="19" t="s">
        <v>94</v>
      </c>
      <c r="I20" s="19" t="s">
        <v>95</v>
      </c>
    </row>
    <row r="21" spans="1:9" ht="36" x14ac:dyDescent="0.25">
      <c r="A21" s="16">
        <v>15</v>
      </c>
      <c r="B21" s="16" t="s">
        <v>96</v>
      </c>
      <c r="C21" s="16" t="s">
        <v>97</v>
      </c>
      <c r="D21" s="16" t="s">
        <v>98</v>
      </c>
      <c r="E21" s="16" t="s">
        <v>59</v>
      </c>
      <c r="F21" s="23" t="s">
        <v>60</v>
      </c>
      <c r="G21" s="25" t="s">
        <v>79</v>
      </c>
      <c r="H21" s="16" t="s">
        <v>99</v>
      </c>
      <c r="I21" s="16" t="s">
        <v>36</v>
      </c>
    </row>
    <row r="22" spans="1:9" ht="36" x14ac:dyDescent="0.25">
      <c r="A22" s="19">
        <v>16</v>
      </c>
      <c r="B22" s="19" t="s">
        <v>100</v>
      </c>
      <c r="C22" s="19" t="s">
        <v>101</v>
      </c>
      <c r="D22" s="19" t="s">
        <v>102</v>
      </c>
      <c r="E22" s="19" t="s">
        <v>103</v>
      </c>
      <c r="F22" s="21" t="s">
        <v>28</v>
      </c>
      <c r="G22" s="18" t="s">
        <v>15</v>
      </c>
      <c r="H22" s="19" t="s">
        <v>104</v>
      </c>
      <c r="I22" s="19" t="s">
        <v>36</v>
      </c>
    </row>
    <row r="23" spans="1:9" x14ac:dyDescent="0.25">
      <c r="A23" s="12" t="s">
        <v>105</v>
      </c>
      <c r="B23" s="12"/>
      <c r="C23" s="12"/>
      <c r="D23" s="12"/>
      <c r="E23" s="12"/>
      <c r="F23" s="12"/>
      <c r="G23" s="12"/>
      <c r="H23" s="12"/>
      <c r="I23" s="12"/>
    </row>
    <row r="24" spans="1:9" ht="48" x14ac:dyDescent="0.25">
      <c r="A24" s="16">
        <v>17</v>
      </c>
      <c r="B24" s="16" t="s">
        <v>106</v>
      </c>
      <c r="C24" s="16" t="s">
        <v>107</v>
      </c>
      <c r="D24" s="16" t="s">
        <v>108</v>
      </c>
      <c r="E24" s="16" t="s">
        <v>108</v>
      </c>
      <c r="F24" s="21" t="s">
        <v>28</v>
      </c>
      <c r="G24" s="18" t="s">
        <v>15</v>
      </c>
      <c r="H24" s="16" t="s">
        <v>109</v>
      </c>
      <c r="I24" s="16" t="s">
        <v>36</v>
      </c>
    </row>
    <row r="25" spans="1:9" ht="36" x14ac:dyDescent="0.25">
      <c r="A25" s="19">
        <v>18</v>
      </c>
      <c r="B25" s="19" t="s">
        <v>110</v>
      </c>
      <c r="C25" s="19" t="s">
        <v>111</v>
      </c>
      <c r="D25" s="19" t="s">
        <v>112</v>
      </c>
      <c r="E25" s="19" t="s">
        <v>59</v>
      </c>
      <c r="F25" s="21" t="s">
        <v>28</v>
      </c>
      <c r="G25" s="18" t="s">
        <v>15</v>
      </c>
      <c r="H25" s="19" t="s">
        <v>113</v>
      </c>
      <c r="I25" s="19" t="s">
        <v>36</v>
      </c>
    </row>
    <row r="26" spans="1:9" ht="48" x14ac:dyDescent="0.25">
      <c r="A26" s="16">
        <v>19</v>
      </c>
      <c r="B26" s="16" t="s">
        <v>114</v>
      </c>
      <c r="C26" s="16" t="s">
        <v>115</v>
      </c>
      <c r="D26" s="16" t="s">
        <v>116</v>
      </c>
      <c r="E26" s="16" t="s">
        <v>117</v>
      </c>
      <c r="F26" s="24" t="s">
        <v>71</v>
      </c>
      <c r="G26" s="22" t="s">
        <v>48</v>
      </c>
      <c r="H26" s="16" t="s">
        <v>118</v>
      </c>
      <c r="I26" s="16" t="s">
        <v>119</v>
      </c>
    </row>
    <row r="27" spans="1:9" x14ac:dyDescent="0.25">
      <c r="A27" s="12" t="s">
        <v>120</v>
      </c>
      <c r="B27" s="12"/>
      <c r="C27" s="12"/>
      <c r="D27" s="12"/>
      <c r="E27" s="12"/>
      <c r="F27" s="12"/>
      <c r="G27" s="12"/>
      <c r="H27" s="12"/>
      <c r="I27" s="12"/>
    </row>
    <row r="28" spans="1:9" ht="48" x14ac:dyDescent="0.25">
      <c r="A28" s="19">
        <v>20</v>
      </c>
      <c r="B28" s="19" t="s">
        <v>121</v>
      </c>
      <c r="C28" s="19" t="s">
        <v>63</v>
      </c>
      <c r="D28" s="19" t="s">
        <v>122</v>
      </c>
      <c r="E28" s="19" t="s">
        <v>117</v>
      </c>
      <c r="F28" s="24" t="s">
        <v>71</v>
      </c>
      <c r="G28" s="18" t="s">
        <v>15</v>
      </c>
      <c r="H28" s="19" t="s">
        <v>123</v>
      </c>
      <c r="I28" s="19" t="s">
        <v>124</v>
      </c>
    </row>
    <row r="29" spans="1:9" ht="36" x14ac:dyDescent="0.25">
      <c r="A29" s="16">
        <v>21</v>
      </c>
      <c r="B29" s="16" t="s">
        <v>125</v>
      </c>
      <c r="C29" s="16" t="s">
        <v>126</v>
      </c>
      <c r="D29" s="16" t="s">
        <v>127</v>
      </c>
      <c r="E29" s="16" t="s">
        <v>128</v>
      </c>
      <c r="F29" s="17" t="s">
        <v>14</v>
      </c>
      <c r="G29" s="18" t="s">
        <v>15</v>
      </c>
      <c r="H29" s="16" t="s">
        <v>129</v>
      </c>
      <c r="I29" s="16" t="s">
        <v>36</v>
      </c>
    </row>
    <row r="30" spans="1:9" x14ac:dyDescent="0.25">
      <c r="A30" s="12" t="s">
        <v>130</v>
      </c>
      <c r="B30" s="12"/>
      <c r="C30" s="12"/>
      <c r="D30" s="12"/>
      <c r="E30" s="12"/>
      <c r="F30" s="12"/>
      <c r="G30" s="12"/>
      <c r="H30" s="12"/>
      <c r="I30" s="12"/>
    </row>
    <row r="31" spans="1:9" ht="48" x14ac:dyDescent="0.25">
      <c r="A31" s="19">
        <v>22</v>
      </c>
      <c r="B31" s="19" t="s">
        <v>131</v>
      </c>
      <c r="C31" s="19" t="s">
        <v>132</v>
      </c>
      <c r="D31" s="19" t="s">
        <v>133</v>
      </c>
      <c r="E31" s="19" t="s">
        <v>134</v>
      </c>
      <c r="F31" s="26" t="s">
        <v>135</v>
      </c>
      <c r="G31" s="27" t="s">
        <v>136</v>
      </c>
      <c r="H31" s="19" t="s">
        <v>137</v>
      </c>
      <c r="I31" s="19" t="s">
        <v>138</v>
      </c>
    </row>
    <row r="32" spans="1:9" ht="48" x14ac:dyDescent="0.25">
      <c r="A32" s="16">
        <v>23</v>
      </c>
      <c r="B32" s="16" t="s">
        <v>139</v>
      </c>
      <c r="C32" s="16" t="s">
        <v>140</v>
      </c>
      <c r="D32" s="16" t="s">
        <v>141</v>
      </c>
      <c r="E32" s="16" t="s">
        <v>142</v>
      </c>
      <c r="F32" s="24" t="s">
        <v>71</v>
      </c>
      <c r="G32" s="22" t="s">
        <v>48</v>
      </c>
      <c r="H32" s="16" t="s">
        <v>143</v>
      </c>
      <c r="I32" s="16" t="s">
        <v>144</v>
      </c>
    </row>
    <row r="33" spans="1:9" ht="48" x14ac:dyDescent="0.25">
      <c r="A33" s="19">
        <v>24</v>
      </c>
      <c r="B33" s="19" t="s">
        <v>145</v>
      </c>
      <c r="C33" s="19" t="s">
        <v>145</v>
      </c>
      <c r="D33" s="19" t="s">
        <v>146</v>
      </c>
      <c r="E33" s="19" t="s">
        <v>117</v>
      </c>
      <c r="F33" s="17" t="s">
        <v>14</v>
      </c>
      <c r="G33" s="25" t="s">
        <v>79</v>
      </c>
      <c r="H33" s="19" t="s">
        <v>147</v>
      </c>
      <c r="I33" s="19" t="s">
        <v>148</v>
      </c>
    </row>
    <row r="34" spans="1:9" ht="48" x14ac:dyDescent="0.25">
      <c r="A34" s="16">
        <v>25</v>
      </c>
      <c r="B34" s="16" t="s">
        <v>149</v>
      </c>
      <c r="C34" s="16" t="s">
        <v>149</v>
      </c>
      <c r="D34" s="16" t="s">
        <v>150</v>
      </c>
      <c r="E34" s="16" t="s">
        <v>103</v>
      </c>
      <c r="F34" s="21" t="s">
        <v>28</v>
      </c>
      <c r="G34" s="25" t="s">
        <v>79</v>
      </c>
      <c r="H34" s="16" t="s">
        <v>151</v>
      </c>
      <c r="I34" s="16" t="s">
        <v>152</v>
      </c>
    </row>
    <row r="35" spans="1:9" x14ac:dyDescent="0.25">
      <c r="A35" s="12" t="s">
        <v>153</v>
      </c>
      <c r="B35" s="12"/>
      <c r="C35" s="12"/>
      <c r="D35" s="12"/>
      <c r="E35" s="12"/>
      <c r="F35" s="12"/>
      <c r="G35" s="12"/>
      <c r="H35" s="12"/>
      <c r="I35" s="12"/>
    </row>
    <row r="36" spans="1:9" ht="48" x14ac:dyDescent="0.25">
      <c r="A36" s="19">
        <v>26</v>
      </c>
      <c r="B36" s="19" t="s">
        <v>154</v>
      </c>
      <c r="C36" s="19" t="s">
        <v>155</v>
      </c>
      <c r="D36" s="19" t="s">
        <v>156</v>
      </c>
      <c r="E36" s="19" t="s">
        <v>157</v>
      </c>
      <c r="F36" s="17" t="s">
        <v>14</v>
      </c>
      <c r="G36" s="20" t="s">
        <v>21</v>
      </c>
      <c r="H36" s="19" t="s">
        <v>158</v>
      </c>
      <c r="I36" s="19" t="s">
        <v>159</v>
      </c>
    </row>
    <row r="37" spans="1:9" ht="48" x14ac:dyDescent="0.25">
      <c r="A37" s="16">
        <v>27</v>
      </c>
      <c r="B37" s="16" t="s">
        <v>160</v>
      </c>
      <c r="C37" s="16" t="s">
        <v>161</v>
      </c>
      <c r="D37" s="16" t="s">
        <v>162</v>
      </c>
      <c r="E37" s="16" t="s">
        <v>163</v>
      </c>
      <c r="F37" s="21" t="s">
        <v>28</v>
      </c>
      <c r="G37" s="18" t="s">
        <v>15</v>
      </c>
      <c r="H37" s="16" t="s">
        <v>164</v>
      </c>
      <c r="I37" s="16" t="s">
        <v>165</v>
      </c>
    </row>
    <row r="38" spans="1:9" ht="48" x14ac:dyDescent="0.25">
      <c r="A38" s="19">
        <v>28</v>
      </c>
      <c r="B38" s="19" t="s">
        <v>166</v>
      </c>
      <c r="C38" s="19" t="s">
        <v>167</v>
      </c>
      <c r="D38" s="19" t="s">
        <v>168</v>
      </c>
      <c r="E38" s="19" t="s">
        <v>103</v>
      </c>
      <c r="F38" s="17" t="s">
        <v>14</v>
      </c>
      <c r="G38" s="20" t="s">
        <v>21</v>
      </c>
      <c r="H38" s="19" t="s">
        <v>169</v>
      </c>
      <c r="I38" s="19" t="s">
        <v>170</v>
      </c>
    </row>
    <row r="39" spans="1:9" ht="48" x14ac:dyDescent="0.25">
      <c r="A39" s="16">
        <v>29</v>
      </c>
      <c r="B39" s="16" t="s">
        <v>171</v>
      </c>
      <c r="C39" s="16" t="s">
        <v>172</v>
      </c>
      <c r="D39" s="16" t="s">
        <v>173</v>
      </c>
      <c r="E39" s="16" t="s">
        <v>174</v>
      </c>
      <c r="F39" s="26" t="s">
        <v>135</v>
      </c>
      <c r="G39" s="27" t="s">
        <v>136</v>
      </c>
      <c r="H39" s="16" t="s">
        <v>175</v>
      </c>
      <c r="I39" s="16" t="s">
        <v>176</v>
      </c>
    </row>
    <row r="40" spans="1:9" ht="48" x14ac:dyDescent="0.25">
      <c r="A40" s="19">
        <v>30</v>
      </c>
      <c r="B40" s="19" t="s">
        <v>177</v>
      </c>
      <c r="C40" s="19" t="s">
        <v>178</v>
      </c>
      <c r="D40" s="19" t="s">
        <v>179</v>
      </c>
      <c r="E40" s="19" t="s">
        <v>117</v>
      </c>
      <c r="F40" s="26" t="s">
        <v>135</v>
      </c>
      <c r="G40" s="27" t="s">
        <v>136</v>
      </c>
      <c r="H40" s="19" t="s">
        <v>180</v>
      </c>
      <c r="I40" s="19" t="s">
        <v>181</v>
      </c>
    </row>
  </sheetData>
  <mergeCells count="9">
    <mergeCell ref="A23:I23"/>
    <mergeCell ref="A27:I27"/>
    <mergeCell ref="A30:I30"/>
    <mergeCell ref="A35:I35"/>
    <mergeCell ref="A1:J1"/>
    <mergeCell ref="A2:J2"/>
    <mergeCell ref="A4:I4"/>
    <mergeCell ref="A10:I10"/>
    <mergeCell ref="A16:I1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B1FA2"/>
  </sheetPr>
  <dimension ref="A1:J38"/>
  <sheetViews>
    <sheetView zoomScaleNormal="100" workbookViewId="0">
      <pane xSplit="1" ySplit="3" topLeftCell="B4" activePane="bottomRight" state="frozen"/>
      <selection pane="topRight" activeCell="B1" sqref="B1"/>
      <selection pane="bottomLeft" activeCell="A4" sqref="A4"/>
      <selection pane="bottomRight" sqref="A1:J1"/>
    </sheetView>
  </sheetViews>
  <sheetFormatPr defaultColWidth="8.7109375" defaultRowHeight="15" x14ac:dyDescent="0.25"/>
  <cols>
    <col min="1" max="1" width="3" bestFit="1" customWidth="1"/>
    <col min="2" max="2" width="30" customWidth="1"/>
    <col min="3" max="3" width="44.85546875" bestFit="1" customWidth="1"/>
    <col min="4" max="4" width="32" customWidth="1"/>
    <col min="5" max="5" width="21.140625" bestFit="1" customWidth="1"/>
    <col min="6" max="6" width="8.28515625" bestFit="1" customWidth="1"/>
    <col min="7" max="7" width="9" customWidth="1"/>
    <col min="8" max="8" width="11.85546875" bestFit="1" customWidth="1"/>
    <col min="9" max="9" width="60" customWidth="1"/>
  </cols>
  <sheetData>
    <row r="1" spans="1:10" ht="20.25" x14ac:dyDescent="0.25">
      <c r="A1" s="14" t="s">
        <v>1216</v>
      </c>
      <c r="B1" s="14"/>
      <c r="C1" s="14"/>
      <c r="D1" s="14"/>
      <c r="E1" s="14"/>
      <c r="F1" s="14"/>
      <c r="G1" s="14"/>
      <c r="H1" s="14"/>
      <c r="I1" s="14"/>
      <c r="J1" s="14"/>
    </row>
    <row r="2" spans="1:10" x14ac:dyDescent="0.25">
      <c r="A2" s="13" t="s">
        <v>1210</v>
      </c>
      <c r="B2" s="13"/>
      <c r="C2" s="13"/>
      <c r="D2" s="13"/>
      <c r="E2" s="13"/>
      <c r="F2" s="13"/>
      <c r="G2" s="13"/>
      <c r="H2" s="13"/>
      <c r="I2" s="13"/>
      <c r="J2" s="13"/>
    </row>
    <row r="3" spans="1:10" x14ac:dyDescent="0.25">
      <c r="A3" s="28" t="s">
        <v>0</v>
      </c>
      <c r="B3" s="28" t="s">
        <v>1</v>
      </c>
      <c r="C3" s="28" t="s">
        <v>182</v>
      </c>
      <c r="D3" s="28" t="s">
        <v>3</v>
      </c>
      <c r="E3" s="28" t="s">
        <v>4</v>
      </c>
      <c r="F3" s="28" t="s">
        <v>5</v>
      </c>
      <c r="G3" s="28" t="s">
        <v>183</v>
      </c>
      <c r="H3" s="28" t="s">
        <v>184</v>
      </c>
      <c r="I3" s="28" t="s">
        <v>185</v>
      </c>
    </row>
    <row r="4" spans="1:10" x14ac:dyDescent="0.25">
      <c r="A4" s="11" t="s">
        <v>186</v>
      </c>
      <c r="B4" s="11"/>
      <c r="C4" s="11"/>
      <c r="D4" s="11"/>
      <c r="E4" s="11"/>
      <c r="F4" s="11"/>
      <c r="G4" s="11"/>
      <c r="H4" s="11"/>
      <c r="I4" s="11"/>
    </row>
    <row r="5" spans="1:10" ht="36" x14ac:dyDescent="0.25">
      <c r="A5" s="16">
        <v>1</v>
      </c>
      <c r="B5" s="16" t="s">
        <v>187</v>
      </c>
      <c r="C5" s="16" t="s">
        <v>188</v>
      </c>
      <c r="D5" s="16" t="s">
        <v>189</v>
      </c>
      <c r="E5" s="16" t="s">
        <v>59</v>
      </c>
      <c r="F5" s="24" t="s">
        <v>71</v>
      </c>
      <c r="G5" s="29" t="s">
        <v>190</v>
      </c>
      <c r="H5" s="29" t="s">
        <v>190</v>
      </c>
      <c r="I5" s="16" t="s">
        <v>191</v>
      </c>
    </row>
    <row r="6" spans="1:10" ht="36" x14ac:dyDescent="0.25">
      <c r="A6" s="19">
        <v>2</v>
      </c>
      <c r="B6" s="19" t="s">
        <v>192</v>
      </c>
      <c r="C6" s="19" t="s">
        <v>193</v>
      </c>
      <c r="D6" s="19" t="s">
        <v>194</v>
      </c>
      <c r="E6" s="19" t="s">
        <v>195</v>
      </c>
      <c r="F6" s="24" t="s">
        <v>71</v>
      </c>
      <c r="G6" s="29" t="s">
        <v>190</v>
      </c>
      <c r="H6" s="30" t="s">
        <v>196</v>
      </c>
      <c r="I6" s="19" t="s">
        <v>197</v>
      </c>
    </row>
    <row r="7" spans="1:10" ht="36" x14ac:dyDescent="0.25">
      <c r="A7" s="16">
        <v>3</v>
      </c>
      <c r="B7" s="16" t="s">
        <v>198</v>
      </c>
      <c r="C7" s="16" t="s">
        <v>193</v>
      </c>
      <c r="D7" s="16" t="s">
        <v>199</v>
      </c>
      <c r="E7" s="16" t="s">
        <v>195</v>
      </c>
      <c r="F7" s="24" t="s">
        <v>71</v>
      </c>
      <c r="G7" s="30" t="s">
        <v>196</v>
      </c>
      <c r="H7" s="29" t="s">
        <v>190</v>
      </c>
      <c r="I7" s="16" t="s">
        <v>200</v>
      </c>
    </row>
    <row r="8" spans="1:10" ht="48" x14ac:dyDescent="0.25">
      <c r="A8" s="19">
        <v>4</v>
      </c>
      <c r="B8" s="19" t="s">
        <v>201</v>
      </c>
      <c r="C8" s="19" t="s">
        <v>202</v>
      </c>
      <c r="D8" s="19" t="s">
        <v>203</v>
      </c>
      <c r="E8" s="19" t="s">
        <v>204</v>
      </c>
      <c r="F8" s="17" t="s">
        <v>14</v>
      </c>
      <c r="G8" s="29" t="s">
        <v>190</v>
      </c>
      <c r="H8" s="30" t="s">
        <v>196</v>
      </c>
      <c r="I8" s="19" t="s">
        <v>205</v>
      </c>
    </row>
    <row r="9" spans="1:10" ht="36" x14ac:dyDescent="0.25">
      <c r="A9" s="16">
        <v>5</v>
      </c>
      <c r="B9" s="16" t="s">
        <v>206</v>
      </c>
      <c r="C9" s="16" t="s">
        <v>202</v>
      </c>
      <c r="D9" s="16" t="s">
        <v>207</v>
      </c>
      <c r="E9" s="16" t="s">
        <v>204</v>
      </c>
      <c r="F9" s="17" t="s">
        <v>14</v>
      </c>
      <c r="G9" s="30" t="s">
        <v>196</v>
      </c>
      <c r="H9" s="29" t="s">
        <v>190</v>
      </c>
      <c r="I9" s="16" t="s">
        <v>208</v>
      </c>
    </row>
    <row r="10" spans="1:10" ht="36" x14ac:dyDescent="0.25">
      <c r="A10" s="19">
        <v>6</v>
      </c>
      <c r="B10" s="19" t="s">
        <v>209</v>
      </c>
      <c r="C10" s="19" t="s">
        <v>210</v>
      </c>
      <c r="D10" s="19" t="s">
        <v>211</v>
      </c>
      <c r="E10" s="19" t="s">
        <v>212</v>
      </c>
      <c r="F10" s="17" t="s">
        <v>14</v>
      </c>
      <c r="G10" s="29" t="s">
        <v>190</v>
      </c>
      <c r="H10" s="29" t="s">
        <v>190</v>
      </c>
      <c r="I10" s="19" t="s">
        <v>213</v>
      </c>
    </row>
    <row r="11" spans="1:10" ht="36" x14ac:dyDescent="0.25">
      <c r="A11" s="16">
        <v>7</v>
      </c>
      <c r="B11" s="16" t="s">
        <v>214</v>
      </c>
      <c r="C11" s="16" t="s">
        <v>215</v>
      </c>
      <c r="D11" s="16" t="s">
        <v>216</v>
      </c>
      <c r="E11" s="16" t="s">
        <v>217</v>
      </c>
      <c r="F11" s="17" t="s">
        <v>14</v>
      </c>
      <c r="G11" s="29" t="s">
        <v>190</v>
      </c>
      <c r="H11" s="29" t="s">
        <v>190</v>
      </c>
      <c r="I11" s="16" t="s">
        <v>218</v>
      </c>
    </row>
    <row r="12" spans="1:10" ht="36" x14ac:dyDescent="0.25">
      <c r="A12" s="19">
        <v>8</v>
      </c>
      <c r="B12" s="19" t="s">
        <v>219</v>
      </c>
      <c r="C12" s="19" t="s">
        <v>220</v>
      </c>
      <c r="D12" s="19" t="s">
        <v>221</v>
      </c>
      <c r="E12" s="19" t="s">
        <v>222</v>
      </c>
      <c r="F12" s="21" t="s">
        <v>28</v>
      </c>
      <c r="G12" s="29" t="s">
        <v>190</v>
      </c>
      <c r="H12" s="29" t="s">
        <v>190</v>
      </c>
      <c r="I12" s="19" t="s">
        <v>223</v>
      </c>
    </row>
    <row r="13" spans="1:10" ht="36" x14ac:dyDescent="0.25">
      <c r="A13" s="16">
        <v>9</v>
      </c>
      <c r="B13" s="16" t="s">
        <v>224</v>
      </c>
      <c r="C13" s="16" t="s">
        <v>225</v>
      </c>
      <c r="D13" s="16" t="s">
        <v>226</v>
      </c>
      <c r="E13" s="16" t="s">
        <v>227</v>
      </c>
      <c r="F13" s="21" t="s">
        <v>28</v>
      </c>
      <c r="G13" s="29" t="s">
        <v>190</v>
      </c>
      <c r="H13" s="29" t="s">
        <v>190</v>
      </c>
      <c r="I13" s="16" t="s">
        <v>228</v>
      </c>
    </row>
    <row r="14" spans="1:10" x14ac:dyDescent="0.25">
      <c r="A14" s="11" t="s">
        <v>229</v>
      </c>
      <c r="B14" s="11"/>
      <c r="C14" s="11"/>
      <c r="D14" s="11"/>
      <c r="E14" s="11"/>
      <c r="F14" s="11"/>
      <c r="G14" s="11"/>
      <c r="H14" s="11"/>
      <c r="I14" s="11"/>
    </row>
    <row r="15" spans="1:10" ht="48" x14ac:dyDescent="0.25">
      <c r="A15" s="19">
        <v>10</v>
      </c>
      <c r="B15" s="19" t="s">
        <v>230</v>
      </c>
      <c r="C15" s="19" t="s">
        <v>231</v>
      </c>
      <c r="D15" s="19" t="s">
        <v>64</v>
      </c>
      <c r="E15" s="19" t="s">
        <v>59</v>
      </c>
      <c r="F15" s="24" t="s">
        <v>71</v>
      </c>
      <c r="G15" s="29" t="s">
        <v>190</v>
      </c>
      <c r="H15" s="30" t="s">
        <v>196</v>
      </c>
      <c r="I15" s="19" t="s">
        <v>232</v>
      </c>
    </row>
    <row r="16" spans="1:10" ht="36" x14ac:dyDescent="0.25">
      <c r="A16" s="16">
        <v>11</v>
      </c>
      <c r="B16" s="16" t="s">
        <v>233</v>
      </c>
      <c r="C16" s="16" t="s">
        <v>234</v>
      </c>
      <c r="D16" s="16" t="s">
        <v>235</v>
      </c>
      <c r="E16" s="16" t="s">
        <v>236</v>
      </c>
      <c r="F16" s="24" t="s">
        <v>71</v>
      </c>
      <c r="G16" s="29" t="s">
        <v>190</v>
      </c>
      <c r="H16" s="30" t="s">
        <v>196</v>
      </c>
      <c r="I16" s="16" t="s">
        <v>237</v>
      </c>
    </row>
    <row r="17" spans="1:9" ht="36" x14ac:dyDescent="0.25">
      <c r="A17" s="19">
        <v>12</v>
      </c>
      <c r="B17" s="19" t="s">
        <v>238</v>
      </c>
      <c r="C17" s="19" t="s">
        <v>239</v>
      </c>
      <c r="D17" s="19" t="s">
        <v>240</v>
      </c>
      <c r="E17" s="19" t="s">
        <v>241</v>
      </c>
      <c r="F17" s="17" t="s">
        <v>14</v>
      </c>
      <c r="G17" s="29" t="s">
        <v>190</v>
      </c>
      <c r="H17" s="30" t="s">
        <v>196</v>
      </c>
      <c r="I17" s="19" t="s">
        <v>242</v>
      </c>
    </row>
    <row r="18" spans="1:9" ht="36" x14ac:dyDescent="0.25">
      <c r="A18" s="16">
        <v>13</v>
      </c>
      <c r="B18" s="16" t="s">
        <v>243</v>
      </c>
      <c r="C18" s="16" t="s">
        <v>244</v>
      </c>
      <c r="D18" s="16" t="s">
        <v>245</v>
      </c>
      <c r="E18" s="16" t="s">
        <v>246</v>
      </c>
      <c r="F18" s="24" t="s">
        <v>71</v>
      </c>
      <c r="G18" s="29" t="s">
        <v>190</v>
      </c>
      <c r="H18" s="30" t="s">
        <v>196</v>
      </c>
      <c r="I18" s="16" t="s">
        <v>247</v>
      </c>
    </row>
    <row r="19" spans="1:9" ht="36" x14ac:dyDescent="0.25">
      <c r="A19" s="19">
        <v>14</v>
      </c>
      <c r="B19" s="19" t="s">
        <v>248</v>
      </c>
      <c r="C19" s="19" t="s">
        <v>249</v>
      </c>
      <c r="D19" s="19" t="s">
        <v>64</v>
      </c>
      <c r="E19" s="19" t="s">
        <v>246</v>
      </c>
      <c r="F19" s="17" t="s">
        <v>14</v>
      </c>
      <c r="G19" s="29" t="s">
        <v>190</v>
      </c>
      <c r="H19" s="30" t="s">
        <v>196</v>
      </c>
      <c r="I19" s="19" t="s">
        <v>250</v>
      </c>
    </row>
    <row r="20" spans="1:9" x14ac:dyDescent="0.25">
      <c r="A20" s="11" t="s">
        <v>251</v>
      </c>
      <c r="B20" s="11"/>
      <c r="C20" s="11"/>
      <c r="D20" s="11"/>
      <c r="E20" s="11"/>
      <c r="F20" s="11"/>
      <c r="G20" s="11"/>
      <c r="H20" s="11"/>
      <c r="I20" s="11"/>
    </row>
    <row r="21" spans="1:9" ht="60" x14ac:dyDescent="0.25">
      <c r="A21" s="16">
        <v>15</v>
      </c>
      <c r="B21" s="16" t="s">
        <v>252</v>
      </c>
      <c r="C21" s="16" t="s">
        <v>253</v>
      </c>
      <c r="D21" s="16" t="s">
        <v>254</v>
      </c>
      <c r="E21" s="16" t="s">
        <v>255</v>
      </c>
      <c r="F21" s="17" t="s">
        <v>14</v>
      </c>
      <c r="G21" s="29" t="s">
        <v>190</v>
      </c>
      <c r="H21" s="29" t="s">
        <v>190</v>
      </c>
      <c r="I21" s="16" t="s">
        <v>256</v>
      </c>
    </row>
    <row r="22" spans="1:9" ht="36" x14ac:dyDescent="0.25">
      <c r="A22" s="19">
        <v>16</v>
      </c>
      <c r="B22" s="19" t="s">
        <v>257</v>
      </c>
      <c r="C22" s="19" t="s">
        <v>258</v>
      </c>
      <c r="D22" s="19" t="s">
        <v>259</v>
      </c>
      <c r="E22" s="19" t="s">
        <v>255</v>
      </c>
      <c r="F22" s="17" t="s">
        <v>14</v>
      </c>
      <c r="G22" s="29" t="s">
        <v>190</v>
      </c>
      <c r="H22" s="29" t="s">
        <v>190</v>
      </c>
      <c r="I22" s="19" t="s">
        <v>260</v>
      </c>
    </row>
    <row r="23" spans="1:9" ht="36" x14ac:dyDescent="0.25">
      <c r="A23" s="16">
        <v>17</v>
      </c>
      <c r="B23" s="16" t="s">
        <v>261</v>
      </c>
      <c r="C23" s="16" t="s">
        <v>258</v>
      </c>
      <c r="D23" s="16" t="s">
        <v>262</v>
      </c>
      <c r="E23" s="16" t="s">
        <v>255</v>
      </c>
      <c r="F23" s="21" t="s">
        <v>28</v>
      </c>
      <c r="G23" s="29" t="s">
        <v>190</v>
      </c>
      <c r="H23" s="29" t="s">
        <v>190</v>
      </c>
      <c r="I23" s="16" t="s">
        <v>263</v>
      </c>
    </row>
    <row r="24" spans="1:9" ht="48" x14ac:dyDescent="0.25">
      <c r="A24" s="19">
        <v>18</v>
      </c>
      <c r="B24" s="19" t="s">
        <v>264</v>
      </c>
      <c r="C24" s="19" t="s">
        <v>258</v>
      </c>
      <c r="D24" s="19" t="s">
        <v>265</v>
      </c>
      <c r="E24" s="19" t="s">
        <v>255</v>
      </c>
      <c r="F24" s="21" t="s">
        <v>28</v>
      </c>
      <c r="G24" s="29" t="s">
        <v>190</v>
      </c>
      <c r="H24" s="30" t="s">
        <v>196</v>
      </c>
      <c r="I24" s="19" t="s">
        <v>266</v>
      </c>
    </row>
    <row r="25" spans="1:9" ht="36" x14ac:dyDescent="0.25">
      <c r="A25" s="16">
        <v>19</v>
      </c>
      <c r="B25" s="16" t="s">
        <v>267</v>
      </c>
      <c r="C25" s="16" t="s">
        <v>268</v>
      </c>
      <c r="D25" s="16" t="s">
        <v>269</v>
      </c>
      <c r="E25" s="16" t="s">
        <v>270</v>
      </c>
      <c r="F25" s="23" t="s">
        <v>60</v>
      </c>
      <c r="G25" s="29" t="s">
        <v>190</v>
      </c>
      <c r="H25" s="29" t="s">
        <v>190</v>
      </c>
      <c r="I25" s="16" t="s">
        <v>271</v>
      </c>
    </row>
    <row r="26" spans="1:9" x14ac:dyDescent="0.25">
      <c r="A26" s="11" t="s">
        <v>272</v>
      </c>
      <c r="B26" s="11"/>
      <c r="C26" s="11"/>
      <c r="D26" s="11"/>
      <c r="E26" s="11"/>
      <c r="F26" s="11"/>
      <c r="G26" s="11"/>
      <c r="H26" s="11"/>
      <c r="I26" s="11"/>
    </row>
    <row r="27" spans="1:9" ht="36" x14ac:dyDescent="0.25">
      <c r="A27" s="19">
        <v>20</v>
      </c>
      <c r="B27" s="19" t="s">
        <v>273</v>
      </c>
      <c r="C27" s="19" t="s">
        <v>274</v>
      </c>
      <c r="D27" s="19" t="s">
        <v>275</v>
      </c>
      <c r="E27" s="19" t="s">
        <v>117</v>
      </c>
      <c r="F27" s="24" t="s">
        <v>71</v>
      </c>
      <c r="G27" s="29" t="s">
        <v>190</v>
      </c>
      <c r="H27" s="29" t="s">
        <v>190</v>
      </c>
      <c r="I27" s="19" t="s">
        <v>276</v>
      </c>
    </row>
    <row r="28" spans="1:9" ht="36" x14ac:dyDescent="0.25">
      <c r="A28" s="16">
        <v>21</v>
      </c>
      <c r="B28" s="16" t="s">
        <v>277</v>
      </c>
      <c r="C28" s="16" t="s">
        <v>278</v>
      </c>
      <c r="D28" s="16" t="s">
        <v>279</v>
      </c>
      <c r="E28" s="16" t="s">
        <v>280</v>
      </c>
      <c r="F28" s="24" t="s">
        <v>71</v>
      </c>
      <c r="G28" s="29" t="s">
        <v>190</v>
      </c>
      <c r="H28" s="29" t="s">
        <v>190</v>
      </c>
      <c r="I28" s="16" t="s">
        <v>281</v>
      </c>
    </row>
    <row r="29" spans="1:9" ht="48" x14ac:dyDescent="0.25">
      <c r="A29" s="19">
        <v>22</v>
      </c>
      <c r="B29" s="19" t="s">
        <v>282</v>
      </c>
      <c r="C29" s="19" t="s">
        <v>283</v>
      </c>
      <c r="D29" s="19" t="s">
        <v>284</v>
      </c>
      <c r="E29" s="19" t="s">
        <v>285</v>
      </c>
      <c r="F29" s="24" t="s">
        <v>71</v>
      </c>
      <c r="G29" s="29" t="s">
        <v>190</v>
      </c>
      <c r="H29" s="29" t="s">
        <v>190</v>
      </c>
      <c r="I29" s="19" t="s">
        <v>286</v>
      </c>
    </row>
    <row r="30" spans="1:9" ht="36" x14ac:dyDescent="0.25">
      <c r="A30" s="16">
        <v>23</v>
      </c>
      <c r="B30" s="16" t="s">
        <v>287</v>
      </c>
      <c r="C30" s="16" t="s">
        <v>288</v>
      </c>
      <c r="D30" s="16" t="s">
        <v>289</v>
      </c>
      <c r="E30" s="16" t="s">
        <v>290</v>
      </c>
      <c r="F30" s="26" t="s">
        <v>135</v>
      </c>
      <c r="G30" s="29" t="s">
        <v>190</v>
      </c>
      <c r="H30" s="29" t="s">
        <v>190</v>
      </c>
      <c r="I30" s="16" t="s">
        <v>291</v>
      </c>
    </row>
    <row r="31" spans="1:9" ht="36" x14ac:dyDescent="0.25">
      <c r="A31" s="19">
        <v>24</v>
      </c>
      <c r="B31" s="19" t="s">
        <v>292</v>
      </c>
      <c r="C31" s="19" t="s">
        <v>293</v>
      </c>
      <c r="D31" s="19" t="s">
        <v>294</v>
      </c>
      <c r="E31" s="19" t="s">
        <v>295</v>
      </c>
      <c r="F31" s="17" t="s">
        <v>14</v>
      </c>
      <c r="G31" s="29" t="s">
        <v>190</v>
      </c>
      <c r="H31" s="29" t="s">
        <v>190</v>
      </c>
      <c r="I31" s="19" t="s">
        <v>296</v>
      </c>
    </row>
    <row r="32" spans="1:9" x14ac:dyDescent="0.25">
      <c r="A32" s="11" t="s">
        <v>297</v>
      </c>
      <c r="B32" s="11"/>
      <c r="C32" s="11"/>
      <c r="D32" s="11"/>
      <c r="E32" s="11"/>
      <c r="F32" s="11"/>
      <c r="G32" s="11"/>
      <c r="H32" s="11"/>
      <c r="I32" s="11"/>
    </row>
    <row r="33" spans="1:9" ht="48" x14ac:dyDescent="0.25">
      <c r="A33" s="16">
        <v>25</v>
      </c>
      <c r="B33" s="16" t="s">
        <v>298</v>
      </c>
      <c r="C33" s="16" t="s">
        <v>299</v>
      </c>
      <c r="D33" s="16" t="s">
        <v>300</v>
      </c>
      <c r="E33" s="16" t="s">
        <v>301</v>
      </c>
      <c r="F33" s="17" t="s">
        <v>14</v>
      </c>
      <c r="G33" s="29" t="s">
        <v>190</v>
      </c>
      <c r="H33" s="29" t="s">
        <v>190</v>
      </c>
      <c r="I33" s="16" t="s">
        <v>302</v>
      </c>
    </row>
    <row r="34" spans="1:9" ht="36" x14ac:dyDescent="0.25">
      <c r="A34" s="19">
        <v>26</v>
      </c>
      <c r="B34" s="19" t="s">
        <v>303</v>
      </c>
      <c r="C34" s="19" t="s">
        <v>304</v>
      </c>
      <c r="D34" s="19" t="s">
        <v>305</v>
      </c>
      <c r="E34" s="19" t="s">
        <v>246</v>
      </c>
      <c r="F34" s="23" t="s">
        <v>60</v>
      </c>
      <c r="G34" s="29" t="s">
        <v>190</v>
      </c>
      <c r="H34" s="29" t="s">
        <v>190</v>
      </c>
      <c r="I34" s="19" t="s">
        <v>306</v>
      </c>
    </row>
    <row r="35" spans="1:9" ht="48" x14ac:dyDescent="0.25">
      <c r="A35" s="16">
        <v>27</v>
      </c>
      <c r="B35" s="16" t="s">
        <v>307</v>
      </c>
      <c r="C35" s="16" t="s">
        <v>308</v>
      </c>
      <c r="D35" s="16" t="s">
        <v>309</v>
      </c>
      <c r="E35" s="16" t="s">
        <v>310</v>
      </c>
      <c r="F35" s="17" t="s">
        <v>14</v>
      </c>
      <c r="G35" s="29" t="s">
        <v>190</v>
      </c>
      <c r="H35" s="29" t="s">
        <v>190</v>
      </c>
      <c r="I35" s="16" t="s">
        <v>311</v>
      </c>
    </row>
    <row r="36" spans="1:9" ht="48" x14ac:dyDescent="0.25">
      <c r="A36" s="19">
        <v>28</v>
      </c>
      <c r="B36" s="19" t="s">
        <v>312</v>
      </c>
      <c r="C36" s="19" t="s">
        <v>313</v>
      </c>
      <c r="D36" s="19" t="s">
        <v>314</v>
      </c>
      <c r="E36" s="19" t="s">
        <v>117</v>
      </c>
      <c r="F36" s="23" t="s">
        <v>60</v>
      </c>
      <c r="G36" s="29" t="s">
        <v>190</v>
      </c>
      <c r="H36" s="30" t="s">
        <v>196</v>
      </c>
      <c r="I36" s="19" t="s">
        <v>315</v>
      </c>
    </row>
    <row r="37" spans="1:9" ht="36" x14ac:dyDescent="0.25">
      <c r="A37" s="16">
        <v>29</v>
      </c>
      <c r="B37" s="16" t="s">
        <v>316</v>
      </c>
      <c r="C37" s="16" t="s">
        <v>317</v>
      </c>
      <c r="D37" s="16" t="s">
        <v>318</v>
      </c>
      <c r="E37" s="16" t="s">
        <v>117</v>
      </c>
      <c r="F37" s="21" t="s">
        <v>28</v>
      </c>
      <c r="G37" s="29" t="s">
        <v>190</v>
      </c>
      <c r="H37" s="29" t="s">
        <v>190</v>
      </c>
      <c r="I37" s="16" t="s">
        <v>319</v>
      </c>
    </row>
    <row r="38" spans="1:9" ht="48" x14ac:dyDescent="0.25">
      <c r="A38" s="19">
        <v>30</v>
      </c>
      <c r="B38" s="19" t="s">
        <v>320</v>
      </c>
      <c r="C38" s="19" t="s">
        <v>321</v>
      </c>
      <c r="D38" s="19" t="s">
        <v>322</v>
      </c>
      <c r="E38" s="19" t="s">
        <v>323</v>
      </c>
      <c r="F38" s="24" t="s">
        <v>71</v>
      </c>
      <c r="G38" s="29" t="s">
        <v>190</v>
      </c>
      <c r="H38" s="29" t="s">
        <v>190</v>
      </c>
      <c r="I38" s="19" t="s">
        <v>324</v>
      </c>
    </row>
  </sheetData>
  <mergeCells count="7">
    <mergeCell ref="A26:I26"/>
    <mergeCell ref="A32:I32"/>
    <mergeCell ref="A1:J1"/>
    <mergeCell ref="A2:J2"/>
    <mergeCell ref="A4:I4"/>
    <mergeCell ref="A14:I14"/>
    <mergeCell ref="A20:I2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71C1C"/>
  </sheetPr>
  <dimension ref="A1:J34"/>
  <sheetViews>
    <sheetView zoomScaleNormal="100" workbookViewId="0">
      <pane xSplit="1" ySplit="3" topLeftCell="B4" activePane="bottomRight" state="frozen"/>
      <selection pane="topRight" activeCell="B1" sqref="B1"/>
      <selection pane="bottomLeft" activeCell="A4" sqref="A4"/>
      <selection pane="bottomRight" sqref="A1:J1"/>
    </sheetView>
  </sheetViews>
  <sheetFormatPr defaultColWidth="8.7109375" defaultRowHeight="15" x14ac:dyDescent="0.25"/>
  <cols>
    <col min="1" max="1" width="3" bestFit="1" customWidth="1"/>
    <col min="2" max="2" width="28" customWidth="1"/>
    <col min="3" max="3" width="29.42578125" bestFit="1" customWidth="1"/>
    <col min="4" max="4" width="25.85546875" bestFit="1" customWidth="1"/>
    <col min="5" max="5" width="26" customWidth="1"/>
    <col min="6" max="6" width="8.28515625" bestFit="1" customWidth="1"/>
    <col min="7" max="7" width="20" customWidth="1"/>
    <col min="8" max="8" width="82.85546875" bestFit="1" customWidth="1"/>
    <col min="9" max="9" width="41.85546875" bestFit="1" customWidth="1"/>
  </cols>
  <sheetData>
    <row r="1" spans="1:10" ht="20.25" x14ac:dyDescent="0.25">
      <c r="A1" s="14" t="s">
        <v>1215</v>
      </c>
      <c r="B1" s="14"/>
      <c r="C1" s="14"/>
      <c r="D1" s="14"/>
      <c r="E1" s="14"/>
      <c r="F1" s="14"/>
      <c r="G1" s="14"/>
      <c r="H1" s="14"/>
      <c r="I1" s="14"/>
      <c r="J1" s="14"/>
    </row>
    <row r="2" spans="1:10" x14ac:dyDescent="0.25">
      <c r="A2" s="13" t="s">
        <v>325</v>
      </c>
      <c r="B2" s="13"/>
      <c r="C2" s="13"/>
      <c r="D2" s="13"/>
      <c r="E2" s="13"/>
      <c r="F2" s="13"/>
      <c r="G2" s="13"/>
      <c r="H2" s="13"/>
      <c r="I2" s="13"/>
      <c r="J2" s="13"/>
    </row>
    <row r="3" spans="1:10" x14ac:dyDescent="0.25">
      <c r="A3" s="31" t="s">
        <v>0</v>
      </c>
      <c r="B3" s="31" t="s">
        <v>326</v>
      </c>
      <c r="C3" s="31" t="s">
        <v>327</v>
      </c>
      <c r="D3" s="31" t="s">
        <v>328</v>
      </c>
      <c r="E3" s="31" t="s">
        <v>329</v>
      </c>
      <c r="F3" s="31" t="s">
        <v>5</v>
      </c>
      <c r="G3" s="31" t="s">
        <v>330</v>
      </c>
      <c r="H3" s="31" t="s">
        <v>331</v>
      </c>
      <c r="I3" s="31" t="s">
        <v>332</v>
      </c>
    </row>
    <row r="4" spans="1:10" x14ac:dyDescent="0.25">
      <c r="A4" s="10" t="s">
        <v>333</v>
      </c>
      <c r="B4" s="10"/>
      <c r="C4" s="10"/>
      <c r="D4" s="10"/>
      <c r="E4" s="10"/>
      <c r="F4" s="10"/>
      <c r="G4" s="10"/>
      <c r="H4" s="10"/>
      <c r="I4" s="10"/>
    </row>
    <row r="5" spans="1:10" ht="48" x14ac:dyDescent="0.25">
      <c r="A5" s="16">
        <v>1</v>
      </c>
      <c r="B5" s="16" t="s">
        <v>334</v>
      </c>
      <c r="C5" s="16" t="s">
        <v>335</v>
      </c>
      <c r="D5" s="16" t="s">
        <v>336</v>
      </c>
      <c r="E5" s="16" t="s">
        <v>337</v>
      </c>
      <c r="F5" s="24" t="s">
        <v>71</v>
      </c>
      <c r="G5" s="16" t="s">
        <v>338</v>
      </c>
      <c r="H5" s="16" t="s">
        <v>339</v>
      </c>
      <c r="I5" s="16" t="s">
        <v>340</v>
      </c>
    </row>
    <row r="6" spans="1:10" ht="36" x14ac:dyDescent="0.25">
      <c r="A6" s="19">
        <v>2</v>
      </c>
      <c r="B6" s="19" t="s">
        <v>341</v>
      </c>
      <c r="C6" s="19" t="s">
        <v>342</v>
      </c>
      <c r="D6" s="19" t="s">
        <v>343</v>
      </c>
      <c r="E6" s="19" t="s">
        <v>344</v>
      </c>
      <c r="F6" s="24" t="s">
        <v>71</v>
      </c>
      <c r="G6" s="19" t="s">
        <v>345</v>
      </c>
      <c r="H6" s="19" t="s">
        <v>346</v>
      </c>
      <c r="I6" s="19" t="s">
        <v>347</v>
      </c>
    </row>
    <row r="7" spans="1:10" ht="36" x14ac:dyDescent="0.25">
      <c r="A7" s="16">
        <v>3</v>
      </c>
      <c r="B7" s="16" t="s">
        <v>348</v>
      </c>
      <c r="C7" s="16" t="s">
        <v>349</v>
      </c>
      <c r="D7" s="16" t="s">
        <v>350</v>
      </c>
      <c r="E7" s="16" t="s">
        <v>351</v>
      </c>
      <c r="F7" s="17" t="s">
        <v>14</v>
      </c>
      <c r="G7" s="16" t="s">
        <v>345</v>
      </c>
      <c r="H7" s="16" t="s">
        <v>352</v>
      </c>
      <c r="I7" s="16" t="s">
        <v>353</v>
      </c>
    </row>
    <row r="8" spans="1:10" x14ac:dyDescent="0.25">
      <c r="A8" s="10" t="s">
        <v>354</v>
      </c>
      <c r="B8" s="10"/>
      <c r="C8" s="10"/>
      <c r="D8" s="10"/>
      <c r="E8" s="10"/>
      <c r="F8" s="10"/>
      <c r="G8" s="10"/>
      <c r="H8" s="10"/>
      <c r="I8" s="10"/>
    </row>
    <row r="9" spans="1:10" ht="36" x14ac:dyDescent="0.25">
      <c r="A9" s="19">
        <v>4</v>
      </c>
      <c r="B9" s="19" t="s">
        <v>355</v>
      </c>
      <c r="C9" s="19" t="s">
        <v>356</v>
      </c>
      <c r="D9" s="19" t="s">
        <v>357</v>
      </c>
      <c r="E9" s="19" t="s">
        <v>358</v>
      </c>
      <c r="F9" s="24" t="s">
        <v>71</v>
      </c>
      <c r="G9" s="19" t="s">
        <v>345</v>
      </c>
      <c r="H9" s="19" t="s">
        <v>359</v>
      </c>
      <c r="I9" s="19" t="s">
        <v>360</v>
      </c>
    </row>
    <row r="10" spans="1:10" ht="36" x14ac:dyDescent="0.25">
      <c r="A10" s="16">
        <v>5</v>
      </c>
      <c r="B10" s="16" t="s">
        <v>361</v>
      </c>
      <c r="C10" s="16" t="s">
        <v>362</v>
      </c>
      <c r="D10" s="16" t="s">
        <v>363</v>
      </c>
      <c r="E10" s="16" t="s">
        <v>364</v>
      </c>
      <c r="F10" s="17" t="s">
        <v>14</v>
      </c>
      <c r="G10" s="16" t="s">
        <v>345</v>
      </c>
      <c r="H10" s="16" t="s">
        <v>365</v>
      </c>
      <c r="I10" s="16" t="s">
        <v>366</v>
      </c>
    </row>
    <row r="11" spans="1:10" x14ac:dyDescent="0.25">
      <c r="A11" s="10" t="s">
        <v>367</v>
      </c>
      <c r="B11" s="10"/>
      <c r="C11" s="10"/>
      <c r="D11" s="10"/>
      <c r="E11" s="10"/>
      <c r="F11" s="10"/>
      <c r="G11" s="10"/>
      <c r="H11" s="10"/>
      <c r="I11" s="10"/>
    </row>
    <row r="12" spans="1:10" ht="36" x14ac:dyDescent="0.25">
      <c r="A12" s="19">
        <v>6</v>
      </c>
      <c r="B12" s="19" t="s">
        <v>368</v>
      </c>
      <c r="C12" s="19" t="s">
        <v>369</v>
      </c>
      <c r="D12" s="19" t="s">
        <v>370</v>
      </c>
      <c r="E12" s="19" t="s">
        <v>371</v>
      </c>
      <c r="F12" s="24" t="s">
        <v>71</v>
      </c>
      <c r="G12" s="19" t="s">
        <v>372</v>
      </c>
      <c r="H12" s="19" t="s">
        <v>373</v>
      </c>
      <c r="I12" s="19" t="s">
        <v>374</v>
      </c>
    </row>
    <row r="13" spans="1:10" ht="48" x14ac:dyDescent="0.25">
      <c r="A13" s="16">
        <v>7</v>
      </c>
      <c r="B13" s="16" t="s">
        <v>375</v>
      </c>
      <c r="C13" s="16" t="s">
        <v>376</v>
      </c>
      <c r="D13" s="16" t="s">
        <v>377</v>
      </c>
      <c r="E13" s="16" t="s">
        <v>378</v>
      </c>
      <c r="F13" s="24" t="s">
        <v>71</v>
      </c>
      <c r="G13" s="16" t="s">
        <v>379</v>
      </c>
      <c r="H13" s="16" t="s">
        <v>380</v>
      </c>
      <c r="I13" s="16" t="s">
        <v>381</v>
      </c>
    </row>
    <row r="14" spans="1:10" ht="36" x14ac:dyDescent="0.25">
      <c r="A14" s="19">
        <v>8</v>
      </c>
      <c r="B14" s="19" t="s">
        <v>382</v>
      </c>
      <c r="C14" s="19" t="s">
        <v>383</v>
      </c>
      <c r="D14" s="19" t="s">
        <v>384</v>
      </c>
      <c r="E14" s="19" t="s">
        <v>385</v>
      </c>
      <c r="F14" s="17" t="s">
        <v>14</v>
      </c>
      <c r="G14" s="19" t="s">
        <v>345</v>
      </c>
      <c r="H14" s="19" t="s">
        <v>386</v>
      </c>
      <c r="I14" s="19" t="s">
        <v>387</v>
      </c>
    </row>
    <row r="15" spans="1:10" ht="36" x14ac:dyDescent="0.25">
      <c r="A15" s="16">
        <v>9</v>
      </c>
      <c r="B15" s="16" t="s">
        <v>388</v>
      </c>
      <c r="C15" s="16" t="s">
        <v>389</v>
      </c>
      <c r="D15" s="16" t="s">
        <v>390</v>
      </c>
      <c r="E15" s="16" t="s">
        <v>391</v>
      </c>
      <c r="F15" s="26" t="s">
        <v>135</v>
      </c>
      <c r="G15" s="16" t="s">
        <v>392</v>
      </c>
      <c r="H15" s="16" t="s">
        <v>393</v>
      </c>
      <c r="I15" s="16" t="s">
        <v>394</v>
      </c>
    </row>
    <row r="16" spans="1:10" ht="36" x14ac:dyDescent="0.25">
      <c r="A16" s="19">
        <v>10</v>
      </c>
      <c r="B16" s="19" t="s">
        <v>395</v>
      </c>
      <c r="C16" s="19" t="s">
        <v>396</v>
      </c>
      <c r="D16" s="19" t="s">
        <v>397</v>
      </c>
      <c r="E16" s="19" t="s">
        <v>398</v>
      </c>
      <c r="F16" s="21" t="s">
        <v>28</v>
      </c>
      <c r="G16" s="19" t="s">
        <v>399</v>
      </c>
      <c r="H16" s="19" t="s">
        <v>400</v>
      </c>
      <c r="I16" s="19" t="s">
        <v>401</v>
      </c>
    </row>
    <row r="17" spans="1:9" x14ac:dyDescent="0.25">
      <c r="A17" s="10" t="s">
        <v>402</v>
      </c>
      <c r="B17" s="10"/>
      <c r="C17" s="10"/>
      <c r="D17" s="10"/>
      <c r="E17" s="10"/>
      <c r="F17" s="10"/>
      <c r="G17" s="10"/>
      <c r="H17" s="10"/>
      <c r="I17" s="10"/>
    </row>
    <row r="18" spans="1:9" ht="36" x14ac:dyDescent="0.25">
      <c r="A18" s="16">
        <v>11</v>
      </c>
      <c r="B18" s="16" t="s">
        <v>403</v>
      </c>
      <c r="C18" s="16" t="s">
        <v>404</v>
      </c>
      <c r="D18" s="16" t="s">
        <v>405</v>
      </c>
      <c r="E18" s="16" t="s">
        <v>406</v>
      </c>
      <c r="F18" s="17" t="s">
        <v>14</v>
      </c>
      <c r="G18" s="16" t="s">
        <v>407</v>
      </c>
      <c r="H18" s="16" t="s">
        <v>408</v>
      </c>
      <c r="I18" s="16" t="s">
        <v>409</v>
      </c>
    </row>
    <row r="19" spans="1:9" ht="36" x14ac:dyDescent="0.25">
      <c r="A19" s="19">
        <v>12</v>
      </c>
      <c r="B19" s="19" t="s">
        <v>410</v>
      </c>
      <c r="C19" s="19" t="s">
        <v>411</v>
      </c>
      <c r="D19" s="19" t="s">
        <v>412</v>
      </c>
      <c r="E19" s="19" t="s">
        <v>413</v>
      </c>
      <c r="F19" s="24" t="s">
        <v>71</v>
      </c>
      <c r="G19" s="19" t="s">
        <v>345</v>
      </c>
      <c r="H19" s="19" t="s">
        <v>414</v>
      </c>
      <c r="I19" s="19" t="s">
        <v>415</v>
      </c>
    </row>
    <row r="20" spans="1:9" x14ac:dyDescent="0.25">
      <c r="A20" s="10" t="s">
        <v>416</v>
      </c>
      <c r="B20" s="10"/>
      <c r="C20" s="10"/>
      <c r="D20" s="10"/>
      <c r="E20" s="10"/>
      <c r="F20" s="10"/>
      <c r="G20" s="10"/>
      <c r="H20" s="10"/>
      <c r="I20" s="10"/>
    </row>
    <row r="21" spans="1:9" ht="36" x14ac:dyDescent="0.25">
      <c r="A21" s="16">
        <v>13</v>
      </c>
      <c r="B21" s="16" t="s">
        <v>417</v>
      </c>
      <c r="C21" s="16" t="s">
        <v>418</v>
      </c>
      <c r="D21" s="16" t="s">
        <v>419</v>
      </c>
      <c r="E21" s="16" t="s">
        <v>420</v>
      </c>
      <c r="F21" s="24" t="s">
        <v>71</v>
      </c>
      <c r="G21" s="16" t="s">
        <v>345</v>
      </c>
      <c r="H21" s="16" t="s">
        <v>421</v>
      </c>
      <c r="I21" s="16" t="s">
        <v>422</v>
      </c>
    </row>
    <row r="22" spans="1:9" ht="36" x14ac:dyDescent="0.25">
      <c r="A22" s="19">
        <v>14</v>
      </c>
      <c r="B22" s="19" t="s">
        <v>423</v>
      </c>
      <c r="C22" s="19" t="s">
        <v>424</v>
      </c>
      <c r="D22" s="19" t="s">
        <v>425</v>
      </c>
      <c r="E22" s="19" t="s">
        <v>426</v>
      </c>
      <c r="F22" s="17" t="s">
        <v>14</v>
      </c>
      <c r="G22" s="19" t="s">
        <v>345</v>
      </c>
      <c r="H22" s="19" t="s">
        <v>427</v>
      </c>
      <c r="I22" s="19" t="s">
        <v>428</v>
      </c>
    </row>
    <row r="23" spans="1:9" ht="36" x14ac:dyDescent="0.25">
      <c r="A23" s="16">
        <v>15</v>
      </c>
      <c r="B23" s="16" t="s">
        <v>429</v>
      </c>
      <c r="C23" s="16" t="s">
        <v>430</v>
      </c>
      <c r="D23" s="16" t="s">
        <v>431</v>
      </c>
      <c r="E23" s="16" t="s">
        <v>432</v>
      </c>
      <c r="F23" s="26" t="s">
        <v>135</v>
      </c>
      <c r="G23" s="16" t="s">
        <v>433</v>
      </c>
      <c r="H23" s="16" t="s">
        <v>434</v>
      </c>
      <c r="I23" s="16" t="s">
        <v>435</v>
      </c>
    </row>
    <row r="24" spans="1:9" ht="36" x14ac:dyDescent="0.25">
      <c r="A24" s="19">
        <v>16</v>
      </c>
      <c r="B24" s="19" t="s">
        <v>436</v>
      </c>
      <c r="C24" s="19" t="s">
        <v>437</v>
      </c>
      <c r="D24" s="19" t="s">
        <v>438</v>
      </c>
      <c r="E24" s="19" t="s">
        <v>439</v>
      </c>
      <c r="F24" s="26" t="s">
        <v>135</v>
      </c>
      <c r="G24" s="19" t="s">
        <v>345</v>
      </c>
      <c r="H24" s="19" t="s">
        <v>440</v>
      </c>
      <c r="I24" s="19" t="s">
        <v>441</v>
      </c>
    </row>
    <row r="26" spans="1:9" x14ac:dyDescent="0.25">
      <c r="A26" s="9" t="s">
        <v>442</v>
      </c>
      <c r="B26" s="9"/>
      <c r="C26" s="9"/>
      <c r="D26" s="9"/>
      <c r="E26" s="9"/>
      <c r="F26" s="9"/>
      <c r="G26" s="9"/>
      <c r="H26" s="9"/>
      <c r="I26" s="9"/>
    </row>
    <row r="27" spans="1:9" ht="48" x14ac:dyDescent="0.25">
      <c r="A27" s="16">
        <v>17</v>
      </c>
      <c r="B27" s="16" t="s">
        <v>443</v>
      </c>
      <c r="C27" s="16" t="s">
        <v>444</v>
      </c>
      <c r="D27" s="16" t="s">
        <v>445</v>
      </c>
      <c r="E27" s="16" t="s">
        <v>446</v>
      </c>
      <c r="F27" s="24" t="s">
        <v>71</v>
      </c>
      <c r="G27" s="16" t="s">
        <v>447</v>
      </c>
      <c r="H27" s="16" t="s">
        <v>448</v>
      </c>
      <c r="I27" s="16" t="s">
        <v>449</v>
      </c>
    </row>
    <row r="28" spans="1:9" ht="60" x14ac:dyDescent="0.25">
      <c r="A28" s="19">
        <v>18</v>
      </c>
      <c r="B28" s="19" t="s">
        <v>450</v>
      </c>
      <c r="C28" s="19" t="s">
        <v>451</v>
      </c>
      <c r="D28" s="19" t="s">
        <v>452</v>
      </c>
      <c r="E28" s="19" t="s">
        <v>453</v>
      </c>
      <c r="F28" s="24" t="s">
        <v>71</v>
      </c>
      <c r="G28" s="19" t="s">
        <v>447</v>
      </c>
      <c r="H28" s="19" t="s">
        <v>454</v>
      </c>
      <c r="I28" s="19" t="s">
        <v>455</v>
      </c>
    </row>
    <row r="29" spans="1:9" ht="36" x14ac:dyDescent="0.25">
      <c r="A29" s="16">
        <v>19</v>
      </c>
      <c r="B29" s="16" t="s">
        <v>456</v>
      </c>
      <c r="C29" s="16" t="s">
        <v>457</v>
      </c>
      <c r="D29" s="16" t="s">
        <v>452</v>
      </c>
      <c r="E29" s="16" t="s">
        <v>458</v>
      </c>
      <c r="F29" s="17" t="s">
        <v>14</v>
      </c>
      <c r="G29" s="16" t="s">
        <v>459</v>
      </c>
      <c r="H29" s="16" t="s">
        <v>460</v>
      </c>
      <c r="I29" s="16" t="s">
        <v>461</v>
      </c>
    </row>
    <row r="30" spans="1:9" ht="60" x14ac:dyDescent="0.25">
      <c r="A30" s="19">
        <v>20</v>
      </c>
      <c r="B30" s="19" t="s">
        <v>462</v>
      </c>
      <c r="C30" s="19" t="s">
        <v>463</v>
      </c>
      <c r="D30" s="19" t="s">
        <v>452</v>
      </c>
      <c r="E30" s="19" t="s">
        <v>464</v>
      </c>
      <c r="F30" s="24" t="s">
        <v>71</v>
      </c>
      <c r="G30" s="19" t="s">
        <v>379</v>
      </c>
      <c r="H30" s="19" t="s">
        <v>465</v>
      </c>
      <c r="I30" s="19" t="s">
        <v>466</v>
      </c>
    </row>
    <row r="31" spans="1:9" ht="48" x14ac:dyDescent="0.25">
      <c r="A31" s="16">
        <v>21</v>
      </c>
      <c r="B31" s="16" t="s">
        <v>467</v>
      </c>
      <c r="C31" s="16" t="s">
        <v>468</v>
      </c>
      <c r="D31" s="16" t="s">
        <v>452</v>
      </c>
      <c r="E31" s="16" t="s">
        <v>469</v>
      </c>
      <c r="F31" s="17" t="s">
        <v>14</v>
      </c>
      <c r="G31" s="16" t="s">
        <v>470</v>
      </c>
      <c r="H31" s="16" t="s">
        <v>471</v>
      </c>
      <c r="I31" s="16" t="s">
        <v>472</v>
      </c>
    </row>
    <row r="32" spans="1:9" ht="36" x14ac:dyDescent="0.25">
      <c r="A32" s="19">
        <v>22</v>
      </c>
      <c r="B32" s="19" t="s">
        <v>473</v>
      </c>
      <c r="C32" s="19" t="s">
        <v>474</v>
      </c>
      <c r="D32" s="19" t="s">
        <v>475</v>
      </c>
      <c r="E32" s="19" t="s">
        <v>476</v>
      </c>
      <c r="F32" s="17" t="s">
        <v>14</v>
      </c>
      <c r="G32" s="19" t="s">
        <v>345</v>
      </c>
      <c r="H32" s="19" t="s">
        <v>477</v>
      </c>
      <c r="I32" s="19" t="s">
        <v>478</v>
      </c>
    </row>
    <row r="33" spans="1:9" ht="60" x14ac:dyDescent="0.25">
      <c r="A33" s="16">
        <v>23</v>
      </c>
      <c r="B33" s="16" t="s">
        <v>479</v>
      </c>
      <c r="C33" s="16" t="s">
        <v>480</v>
      </c>
      <c r="D33" s="16" t="s">
        <v>481</v>
      </c>
      <c r="E33" s="16" t="s">
        <v>482</v>
      </c>
      <c r="F33" s="24" t="s">
        <v>71</v>
      </c>
      <c r="G33" s="16" t="s">
        <v>447</v>
      </c>
      <c r="H33" s="16" t="s">
        <v>483</v>
      </c>
      <c r="I33" s="16" t="s">
        <v>484</v>
      </c>
    </row>
    <row r="34" spans="1:9" ht="48" x14ac:dyDescent="0.25">
      <c r="A34" s="19">
        <v>24</v>
      </c>
      <c r="B34" s="19" t="s">
        <v>485</v>
      </c>
      <c r="C34" s="19" t="s">
        <v>486</v>
      </c>
      <c r="D34" s="19" t="s">
        <v>487</v>
      </c>
      <c r="E34" s="19" t="s">
        <v>488</v>
      </c>
      <c r="F34" s="21" t="s">
        <v>28</v>
      </c>
      <c r="G34" s="19" t="s">
        <v>489</v>
      </c>
      <c r="H34" s="19" t="s">
        <v>490</v>
      </c>
      <c r="I34" s="19" t="s">
        <v>491</v>
      </c>
    </row>
  </sheetData>
  <mergeCells count="8">
    <mergeCell ref="A17:I17"/>
    <mergeCell ref="A20:I20"/>
    <mergeCell ref="A26:I26"/>
    <mergeCell ref="A1:J1"/>
    <mergeCell ref="A2:J2"/>
    <mergeCell ref="A4:I4"/>
    <mergeCell ref="A8:I8"/>
    <mergeCell ref="A11:I1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A6B3C"/>
  </sheetPr>
  <dimension ref="A1:K59"/>
  <sheetViews>
    <sheetView zoomScaleNormal="100" workbookViewId="0">
      <pane xSplit="1" ySplit="3" topLeftCell="B4" activePane="bottomRight" state="frozen"/>
      <selection pane="topRight" activeCell="B1" sqref="B1"/>
      <selection pane="bottomLeft" activeCell="A4" sqref="A4"/>
      <selection pane="bottomRight" activeCell="C28" sqref="C28"/>
    </sheetView>
  </sheetViews>
  <sheetFormatPr defaultColWidth="8.7109375" defaultRowHeight="15" x14ac:dyDescent="0.25"/>
  <cols>
    <col min="1" max="1" width="25.7109375" bestFit="1" customWidth="1"/>
    <col min="2" max="2" width="32.28515625" bestFit="1" customWidth="1"/>
    <col min="3" max="3" width="23.85546875" bestFit="1" customWidth="1"/>
    <col min="4" max="4" width="14.28515625" bestFit="1" customWidth="1"/>
    <col min="5" max="5" width="6" bestFit="1" customWidth="1"/>
    <col min="6" max="6" width="15.28515625" bestFit="1" customWidth="1"/>
    <col min="7" max="7" width="12.5703125" bestFit="1" customWidth="1"/>
    <col min="8" max="8" width="11.85546875" bestFit="1" customWidth="1"/>
    <col min="9" max="9" width="14.7109375" bestFit="1" customWidth="1"/>
    <col min="10" max="10" width="45.28515625" bestFit="1" customWidth="1"/>
    <col min="11" max="11" width="13.28515625" bestFit="1" customWidth="1"/>
  </cols>
  <sheetData>
    <row r="1" spans="1:11" ht="20.25" x14ac:dyDescent="0.25">
      <c r="A1" s="14" t="s">
        <v>1214</v>
      </c>
      <c r="B1" s="14"/>
      <c r="C1" s="14"/>
      <c r="D1" s="14"/>
      <c r="E1" s="14"/>
      <c r="F1" s="14"/>
      <c r="G1" s="14"/>
      <c r="H1" s="14"/>
      <c r="I1" s="14"/>
      <c r="J1" s="14"/>
      <c r="K1" s="14"/>
    </row>
    <row r="2" spans="1:11" x14ac:dyDescent="0.25">
      <c r="A2" s="13" t="s">
        <v>1211</v>
      </c>
      <c r="B2" s="13"/>
      <c r="C2" s="13"/>
      <c r="D2" s="13"/>
      <c r="E2" s="13"/>
      <c r="F2" s="13"/>
      <c r="G2" s="13"/>
      <c r="H2" s="13"/>
      <c r="I2" s="13"/>
      <c r="J2" s="13"/>
      <c r="K2" s="13"/>
    </row>
    <row r="3" spans="1:11" x14ac:dyDescent="0.25">
      <c r="A3" s="32" t="s">
        <v>492</v>
      </c>
      <c r="B3" s="32" t="s">
        <v>493</v>
      </c>
      <c r="C3" s="32" t="s">
        <v>494</v>
      </c>
      <c r="D3" s="32" t="s">
        <v>495</v>
      </c>
      <c r="E3" s="32" t="s">
        <v>496</v>
      </c>
      <c r="F3" s="32" t="s">
        <v>497</v>
      </c>
      <c r="G3" s="32" t="s">
        <v>498</v>
      </c>
      <c r="H3" s="32" t="s">
        <v>499</v>
      </c>
      <c r="I3" s="32" t="s">
        <v>500</v>
      </c>
      <c r="J3" s="32" t="s">
        <v>501</v>
      </c>
      <c r="K3" s="32" t="s">
        <v>502</v>
      </c>
    </row>
    <row r="4" spans="1:11" x14ac:dyDescent="0.25">
      <c r="A4" s="8" t="s">
        <v>503</v>
      </c>
      <c r="B4" s="8"/>
      <c r="C4" s="8"/>
      <c r="D4" s="8"/>
      <c r="E4" s="8"/>
      <c r="F4" s="8"/>
      <c r="G4" s="8"/>
      <c r="H4" s="8"/>
      <c r="I4" s="8"/>
      <c r="J4" s="8"/>
      <c r="K4" s="8"/>
    </row>
    <row r="5" spans="1:11" x14ac:dyDescent="0.25">
      <c r="A5" s="16" t="s">
        <v>504</v>
      </c>
      <c r="B5" s="33" t="s">
        <v>505</v>
      </c>
      <c r="C5" s="16" t="s">
        <v>506</v>
      </c>
      <c r="D5" s="34" t="s">
        <v>507</v>
      </c>
      <c r="E5" s="34">
        <v>3</v>
      </c>
      <c r="F5" s="34">
        <v>192</v>
      </c>
      <c r="G5" s="35">
        <f t="shared" ref="G5:G10" si="0">E5*F5</f>
        <v>576</v>
      </c>
      <c r="H5" s="36">
        <f t="shared" ref="H5:H10" si="1">G5*12</f>
        <v>6912</v>
      </c>
      <c r="I5" s="37" t="s">
        <v>508</v>
      </c>
      <c r="J5" s="38" t="s">
        <v>509</v>
      </c>
      <c r="K5" s="21" t="s">
        <v>510</v>
      </c>
    </row>
    <row r="6" spans="1:11" x14ac:dyDescent="0.25">
      <c r="A6" s="19" t="s">
        <v>504</v>
      </c>
      <c r="B6" s="39" t="s">
        <v>511</v>
      </c>
      <c r="C6" s="19" t="s">
        <v>512</v>
      </c>
      <c r="D6" s="40" t="s">
        <v>507</v>
      </c>
      <c r="E6" s="40">
        <v>2</v>
      </c>
      <c r="F6" s="40">
        <v>384</v>
      </c>
      <c r="G6" s="35">
        <f t="shared" si="0"/>
        <v>768</v>
      </c>
      <c r="H6" s="36">
        <f t="shared" si="1"/>
        <v>9216</v>
      </c>
      <c r="I6" s="41" t="s">
        <v>508</v>
      </c>
      <c r="J6" s="42" t="s">
        <v>513</v>
      </c>
      <c r="K6" s="21" t="s">
        <v>510</v>
      </c>
    </row>
    <row r="7" spans="1:11" x14ac:dyDescent="0.25">
      <c r="A7" s="16" t="s">
        <v>504</v>
      </c>
      <c r="B7" s="33" t="s">
        <v>514</v>
      </c>
      <c r="C7" s="16" t="s">
        <v>515</v>
      </c>
      <c r="D7" s="34" t="s">
        <v>516</v>
      </c>
      <c r="E7" s="34">
        <v>5</v>
      </c>
      <c r="F7" s="34">
        <v>19.71</v>
      </c>
      <c r="G7" s="35">
        <f t="shared" si="0"/>
        <v>98.550000000000011</v>
      </c>
      <c r="H7" s="36">
        <f t="shared" si="1"/>
        <v>1182.6000000000001</v>
      </c>
      <c r="I7" s="43" t="s">
        <v>196</v>
      </c>
      <c r="J7" s="38" t="s">
        <v>517</v>
      </c>
      <c r="K7" s="21" t="s">
        <v>510</v>
      </c>
    </row>
    <row r="8" spans="1:11" x14ac:dyDescent="0.25">
      <c r="A8" s="19" t="s">
        <v>504</v>
      </c>
      <c r="B8" s="39" t="s">
        <v>518</v>
      </c>
      <c r="C8" s="19" t="s">
        <v>519</v>
      </c>
      <c r="D8" s="40" t="s">
        <v>520</v>
      </c>
      <c r="E8" s="40">
        <v>100</v>
      </c>
      <c r="F8" s="40">
        <v>0.13</v>
      </c>
      <c r="G8" s="35">
        <f t="shared" si="0"/>
        <v>13</v>
      </c>
      <c r="H8" s="36">
        <f t="shared" si="1"/>
        <v>156</v>
      </c>
      <c r="I8" s="44" t="s">
        <v>196</v>
      </c>
      <c r="J8" s="42" t="s">
        <v>521</v>
      </c>
      <c r="K8" s="21" t="s">
        <v>510</v>
      </c>
    </row>
    <row r="9" spans="1:11" x14ac:dyDescent="0.25">
      <c r="A9" s="16" t="s">
        <v>504</v>
      </c>
      <c r="B9" s="33" t="s">
        <v>522</v>
      </c>
      <c r="C9" s="16" t="s">
        <v>523</v>
      </c>
      <c r="D9" s="34" t="s">
        <v>524</v>
      </c>
      <c r="E9" s="34">
        <v>5</v>
      </c>
      <c r="F9" s="34">
        <v>2.2999999999999998</v>
      </c>
      <c r="G9" s="35">
        <f t="shared" si="0"/>
        <v>11.5</v>
      </c>
      <c r="H9" s="36">
        <f t="shared" si="1"/>
        <v>138</v>
      </c>
      <c r="I9" s="43" t="s">
        <v>196</v>
      </c>
      <c r="J9" s="38" t="s">
        <v>525</v>
      </c>
      <c r="K9" s="21" t="s">
        <v>510</v>
      </c>
    </row>
    <row r="10" spans="1:11" x14ac:dyDescent="0.25">
      <c r="A10" s="19" t="s">
        <v>504</v>
      </c>
      <c r="B10" s="39" t="s">
        <v>526</v>
      </c>
      <c r="C10" s="19" t="s">
        <v>527</v>
      </c>
      <c r="D10" s="40" t="s">
        <v>528</v>
      </c>
      <c r="E10" s="40">
        <v>1</v>
      </c>
      <c r="F10" s="40">
        <v>140</v>
      </c>
      <c r="G10" s="35">
        <f t="shared" si="0"/>
        <v>140</v>
      </c>
      <c r="H10" s="36">
        <f t="shared" si="1"/>
        <v>1680</v>
      </c>
      <c r="I10" s="44" t="s">
        <v>196</v>
      </c>
      <c r="J10" s="42" t="s">
        <v>529</v>
      </c>
      <c r="K10" s="21" t="s">
        <v>510</v>
      </c>
    </row>
    <row r="11" spans="1:11" x14ac:dyDescent="0.25">
      <c r="A11" s="7" t="s">
        <v>530</v>
      </c>
      <c r="B11" s="7"/>
      <c r="C11" s="7"/>
      <c r="D11" s="7"/>
      <c r="E11" s="7"/>
      <c r="F11" s="7"/>
      <c r="G11" s="7"/>
      <c r="H11" s="7"/>
      <c r="I11" s="7"/>
      <c r="J11" s="7"/>
      <c r="K11" s="7"/>
    </row>
    <row r="12" spans="1:11" ht="22.5" x14ac:dyDescent="0.25">
      <c r="A12" s="19" t="s">
        <v>531</v>
      </c>
      <c r="B12" s="39" t="s">
        <v>532</v>
      </c>
      <c r="C12" s="19" t="s">
        <v>506</v>
      </c>
      <c r="D12" s="40" t="s">
        <v>507</v>
      </c>
      <c r="E12" s="40">
        <v>15</v>
      </c>
      <c r="F12" s="40">
        <v>115</v>
      </c>
      <c r="G12" s="35">
        <f>E12*F12</f>
        <v>1725</v>
      </c>
      <c r="H12" s="36">
        <f>G12*12</f>
        <v>20700</v>
      </c>
      <c r="I12" s="45" t="s">
        <v>533</v>
      </c>
      <c r="J12" s="42" t="s">
        <v>534</v>
      </c>
      <c r="K12" s="21" t="s">
        <v>510</v>
      </c>
    </row>
    <row r="13" spans="1:11" x14ac:dyDescent="0.25">
      <c r="A13" s="16" t="s">
        <v>531</v>
      </c>
      <c r="B13" s="33" t="s">
        <v>535</v>
      </c>
      <c r="C13" s="16" t="s">
        <v>515</v>
      </c>
      <c r="D13" s="34" t="s">
        <v>516</v>
      </c>
      <c r="E13" s="34">
        <v>15</v>
      </c>
      <c r="F13" s="34">
        <v>19.71</v>
      </c>
      <c r="G13" s="35">
        <f>E13*F13</f>
        <v>295.65000000000003</v>
      </c>
      <c r="H13" s="36">
        <f>G13*12</f>
        <v>3547.8</v>
      </c>
      <c r="I13" s="43" t="s">
        <v>196</v>
      </c>
      <c r="J13" s="38" t="s">
        <v>536</v>
      </c>
      <c r="K13" s="21" t="s">
        <v>510</v>
      </c>
    </row>
    <row r="14" spans="1:11" x14ac:dyDescent="0.25">
      <c r="A14" s="19" t="s">
        <v>531</v>
      </c>
      <c r="B14" s="39" t="s">
        <v>537</v>
      </c>
      <c r="C14" s="19" t="s">
        <v>538</v>
      </c>
      <c r="D14" s="40" t="s">
        <v>520</v>
      </c>
      <c r="E14" s="40">
        <v>2048</v>
      </c>
      <c r="F14" s="40">
        <v>0.13</v>
      </c>
      <c r="G14" s="35">
        <f>E14*F14</f>
        <v>266.24</v>
      </c>
      <c r="H14" s="36">
        <f>G14*12</f>
        <v>3194.88</v>
      </c>
      <c r="I14" s="44" t="s">
        <v>196</v>
      </c>
      <c r="J14" s="42" t="s">
        <v>539</v>
      </c>
      <c r="K14" s="21" t="s">
        <v>510</v>
      </c>
    </row>
    <row r="15" spans="1:11" x14ac:dyDescent="0.25">
      <c r="A15" s="16" t="s">
        <v>531</v>
      </c>
      <c r="B15" s="33" t="s">
        <v>540</v>
      </c>
      <c r="C15" s="16" t="s">
        <v>538</v>
      </c>
      <c r="D15" s="34" t="s">
        <v>520</v>
      </c>
      <c r="E15" s="34">
        <v>2048</v>
      </c>
      <c r="F15" s="34">
        <v>0.13</v>
      </c>
      <c r="G15" s="35">
        <f>E15*F15</f>
        <v>266.24</v>
      </c>
      <c r="H15" s="36">
        <f>G15*12</f>
        <v>3194.88</v>
      </c>
      <c r="I15" s="43" t="s">
        <v>196</v>
      </c>
      <c r="J15" s="38" t="s">
        <v>541</v>
      </c>
      <c r="K15" s="21" t="s">
        <v>510</v>
      </c>
    </row>
    <row r="16" spans="1:11" x14ac:dyDescent="0.25">
      <c r="A16" s="19" t="s">
        <v>531</v>
      </c>
      <c r="B16" s="39" t="s">
        <v>542</v>
      </c>
      <c r="C16" s="19" t="s">
        <v>543</v>
      </c>
      <c r="D16" s="40" t="s">
        <v>544</v>
      </c>
      <c r="E16" s="40">
        <v>2</v>
      </c>
      <c r="F16" s="40">
        <v>7.2</v>
      </c>
      <c r="G16" s="35">
        <f>E16*F16</f>
        <v>14.4</v>
      </c>
      <c r="H16" s="36">
        <f>G16*12</f>
        <v>172.8</v>
      </c>
      <c r="I16" s="44" t="s">
        <v>196</v>
      </c>
      <c r="J16" s="42" t="s">
        <v>545</v>
      </c>
      <c r="K16" s="21" t="s">
        <v>510</v>
      </c>
    </row>
    <row r="17" spans="1:11" x14ac:dyDescent="0.25">
      <c r="A17" s="6" t="s">
        <v>546</v>
      </c>
      <c r="B17" s="6"/>
      <c r="C17" s="6"/>
      <c r="D17" s="6"/>
      <c r="E17" s="6"/>
      <c r="F17" s="6"/>
      <c r="G17" s="6"/>
      <c r="H17" s="6"/>
      <c r="I17" s="6"/>
      <c r="J17" s="6"/>
      <c r="K17" s="6"/>
    </row>
    <row r="18" spans="1:11" x14ac:dyDescent="0.25">
      <c r="A18" s="19" t="s">
        <v>547</v>
      </c>
      <c r="B18" s="39" t="s">
        <v>548</v>
      </c>
      <c r="C18" s="19" t="s">
        <v>512</v>
      </c>
      <c r="D18" s="40" t="s">
        <v>507</v>
      </c>
      <c r="E18" s="40">
        <v>10</v>
      </c>
      <c r="F18" s="40">
        <v>200</v>
      </c>
      <c r="G18" s="35">
        <f>E18*F18</f>
        <v>2000</v>
      </c>
      <c r="H18" s="36">
        <f>G18*12</f>
        <v>24000</v>
      </c>
      <c r="I18" s="45" t="s">
        <v>533</v>
      </c>
      <c r="J18" s="42" t="s">
        <v>549</v>
      </c>
      <c r="K18" s="21" t="s">
        <v>510</v>
      </c>
    </row>
    <row r="19" spans="1:11" x14ac:dyDescent="0.25">
      <c r="A19" s="16" t="s">
        <v>547</v>
      </c>
      <c r="B19" s="33" t="s">
        <v>550</v>
      </c>
      <c r="C19" s="16" t="s">
        <v>515</v>
      </c>
      <c r="D19" s="34" t="s">
        <v>516</v>
      </c>
      <c r="E19" s="34">
        <v>10</v>
      </c>
      <c r="F19" s="34">
        <v>19.71</v>
      </c>
      <c r="G19" s="35">
        <f>E19*F19</f>
        <v>197.10000000000002</v>
      </c>
      <c r="H19" s="36">
        <f>G19*12</f>
        <v>2365.2000000000003</v>
      </c>
      <c r="I19" s="43" t="s">
        <v>196</v>
      </c>
      <c r="J19" s="38" t="s">
        <v>536</v>
      </c>
      <c r="K19" s="21" t="s">
        <v>510</v>
      </c>
    </row>
    <row r="20" spans="1:11" x14ac:dyDescent="0.25">
      <c r="A20" s="19" t="s">
        <v>547</v>
      </c>
      <c r="B20" s="39" t="s">
        <v>551</v>
      </c>
      <c r="C20" s="19" t="s">
        <v>538</v>
      </c>
      <c r="D20" s="40" t="s">
        <v>520</v>
      </c>
      <c r="E20" s="40">
        <v>1600</v>
      </c>
      <c r="F20" s="40">
        <v>0.13</v>
      </c>
      <c r="G20" s="35">
        <f>E20*F20</f>
        <v>208</v>
      </c>
      <c r="H20" s="36">
        <f>G20*12</f>
        <v>2496</v>
      </c>
      <c r="I20" s="44" t="s">
        <v>196</v>
      </c>
      <c r="J20" s="42" t="s">
        <v>552</v>
      </c>
      <c r="K20" s="21" t="s">
        <v>510</v>
      </c>
    </row>
    <row r="21" spans="1:11" x14ac:dyDescent="0.25">
      <c r="A21" s="16" t="s">
        <v>547</v>
      </c>
      <c r="B21" s="33" t="s">
        <v>553</v>
      </c>
      <c r="C21" s="16" t="s">
        <v>543</v>
      </c>
      <c r="D21" s="34" t="s">
        <v>544</v>
      </c>
      <c r="E21" s="34">
        <v>1</v>
      </c>
      <c r="F21" s="34">
        <v>7.2</v>
      </c>
      <c r="G21" s="35">
        <f>E21*F21</f>
        <v>7.2</v>
      </c>
      <c r="H21" s="36">
        <f>G21*12</f>
        <v>86.4</v>
      </c>
      <c r="I21" s="43" t="s">
        <v>196</v>
      </c>
      <c r="J21" s="38" t="s">
        <v>554</v>
      </c>
      <c r="K21" s="21" t="s">
        <v>510</v>
      </c>
    </row>
    <row r="22" spans="1:11" x14ac:dyDescent="0.25">
      <c r="A22" s="12" t="s">
        <v>555</v>
      </c>
      <c r="B22" s="12"/>
      <c r="C22" s="12"/>
      <c r="D22" s="12"/>
      <c r="E22" s="12"/>
      <c r="F22" s="12"/>
      <c r="G22" s="12"/>
      <c r="H22" s="12"/>
      <c r="I22" s="12"/>
      <c r="J22" s="12"/>
      <c r="K22" s="12"/>
    </row>
    <row r="23" spans="1:11" x14ac:dyDescent="0.25">
      <c r="A23" s="16" t="s">
        <v>556</v>
      </c>
      <c r="B23" s="33" t="s">
        <v>557</v>
      </c>
      <c r="C23" s="16" t="s">
        <v>558</v>
      </c>
      <c r="D23" s="34" t="s">
        <v>559</v>
      </c>
      <c r="E23" s="34">
        <v>1</v>
      </c>
      <c r="F23" s="34">
        <v>0</v>
      </c>
      <c r="G23" s="35">
        <f t="shared" ref="G23:G32" si="2">E23*F23</f>
        <v>0</v>
      </c>
      <c r="H23" s="36">
        <f t="shared" ref="H23:H32" si="3">G23*12</f>
        <v>0</v>
      </c>
      <c r="I23" s="43" t="s">
        <v>560</v>
      </c>
      <c r="J23" s="38" t="s">
        <v>561</v>
      </c>
      <c r="K23" s="21" t="s">
        <v>510</v>
      </c>
    </row>
    <row r="24" spans="1:11" x14ac:dyDescent="0.25">
      <c r="A24" s="19" t="s">
        <v>556</v>
      </c>
      <c r="B24" s="39" t="s">
        <v>526</v>
      </c>
      <c r="C24" s="19" t="s">
        <v>527</v>
      </c>
      <c r="D24" s="40" t="s">
        <v>528</v>
      </c>
      <c r="E24" s="40">
        <v>1</v>
      </c>
      <c r="F24" s="40">
        <v>140</v>
      </c>
      <c r="G24" s="35">
        <f t="shared" si="2"/>
        <v>140</v>
      </c>
      <c r="H24" s="36">
        <f t="shared" si="3"/>
        <v>1680</v>
      </c>
      <c r="I24" s="44" t="s">
        <v>196</v>
      </c>
      <c r="J24" s="42" t="s">
        <v>562</v>
      </c>
      <c r="K24" s="21" t="s">
        <v>510</v>
      </c>
    </row>
    <row r="25" spans="1:11" x14ac:dyDescent="0.25">
      <c r="A25" s="16" t="s">
        <v>556</v>
      </c>
      <c r="B25" s="33" t="s">
        <v>523</v>
      </c>
      <c r="C25" s="16" t="s">
        <v>563</v>
      </c>
      <c r="D25" s="34" t="s">
        <v>524</v>
      </c>
      <c r="E25" s="34">
        <v>50</v>
      </c>
      <c r="F25" s="34">
        <v>2.2999999999999998</v>
      </c>
      <c r="G25" s="35">
        <f t="shared" si="2"/>
        <v>114.99999999999999</v>
      </c>
      <c r="H25" s="36">
        <f t="shared" si="3"/>
        <v>1379.9999999999998</v>
      </c>
      <c r="I25" s="43" t="s">
        <v>196</v>
      </c>
      <c r="J25" s="38" t="s">
        <v>564</v>
      </c>
      <c r="K25" s="21" t="s">
        <v>510</v>
      </c>
    </row>
    <row r="26" spans="1:11" x14ac:dyDescent="0.25">
      <c r="A26" s="19" t="s">
        <v>556</v>
      </c>
      <c r="B26" s="39" t="s">
        <v>565</v>
      </c>
      <c r="C26" s="19" t="s">
        <v>566</v>
      </c>
      <c r="D26" s="40" t="s">
        <v>567</v>
      </c>
      <c r="E26" s="40">
        <v>20</v>
      </c>
      <c r="F26" s="40">
        <v>0.1</v>
      </c>
      <c r="G26" s="35">
        <f t="shared" si="2"/>
        <v>2</v>
      </c>
      <c r="H26" s="36">
        <f t="shared" si="3"/>
        <v>24</v>
      </c>
      <c r="I26" s="44" t="s">
        <v>196</v>
      </c>
      <c r="J26" s="42" t="s">
        <v>568</v>
      </c>
      <c r="K26" s="21" t="s">
        <v>510</v>
      </c>
    </row>
    <row r="27" spans="1:11" x14ac:dyDescent="0.25">
      <c r="A27" s="16" t="s">
        <v>556</v>
      </c>
      <c r="B27" s="33" t="s">
        <v>569</v>
      </c>
      <c r="C27" s="16" t="s">
        <v>570</v>
      </c>
      <c r="D27" s="34" t="s">
        <v>571</v>
      </c>
      <c r="E27" s="34">
        <v>1</v>
      </c>
      <c r="F27" s="34">
        <v>25</v>
      </c>
      <c r="G27" s="35">
        <f t="shared" si="2"/>
        <v>25</v>
      </c>
      <c r="H27" s="36">
        <f t="shared" si="3"/>
        <v>300</v>
      </c>
      <c r="I27" s="43" t="s">
        <v>196</v>
      </c>
      <c r="J27" s="38" t="s">
        <v>572</v>
      </c>
      <c r="K27" s="21" t="s">
        <v>510</v>
      </c>
    </row>
    <row r="28" spans="1:11" x14ac:dyDescent="0.25">
      <c r="A28" s="19" t="s">
        <v>556</v>
      </c>
      <c r="B28" s="39" t="s">
        <v>573</v>
      </c>
      <c r="C28" s="19" t="s">
        <v>527</v>
      </c>
      <c r="D28" s="40" t="s">
        <v>574</v>
      </c>
      <c r="E28" s="40">
        <v>2</v>
      </c>
      <c r="F28" s="40">
        <v>5</v>
      </c>
      <c r="G28" s="35">
        <f t="shared" si="2"/>
        <v>10</v>
      </c>
      <c r="H28" s="36">
        <f t="shared" si="3"/>
        <v>120</v>
      </c>
      <c r="I28" s="44" t="s">
        <v>196</v>
      </c>
      <c r="J28" s="42" t="s">
        <v>575</v>
      </c>
      <c r="K28" s="21" t="s">
        <v>510</v>
      </c>
    </row>
    <row r="29" spans="1:11" x14ac:dyDescent="0.25">
      <c r="A29" s="16" t="s">
        <v>556</v>
      </c>
      <c r="B29" s="33" t="s">
        <v>576</v>
      </c>
      <c r="C29" s="16" t="s">
        <v>577</v>
      </c>
      <c r="D29" s="34" t="s">
        <v>578</v>
      </c>
      <c r="E29" s="34">
        <v>5120</v>
      </c>
      <c r="F29" s="34">
        <v>0.03</v>
      </c>
      <c r="G29" s="35">
        <f t="shared" si="2"/>
        <v>153.6</v>
      </c>
      <c r="H29" s="36">
        <f t="shared" si="3"/>
        <v>1843.1999999999998</v>
      </c>
      <c r="I29" s="43" t="s">
        <v>196</v>
      </c>
      <c r="J29" s="38" t="s">
        <v>579</v>
      </c>
      <c r="K29" s="21" t="s">
        <v>510</v>
      </c>
    </row>
    <row r="30" spans="1:11" x14ac:dyDescent="0.25">
      <c r="A30" s="19" t="s">
        <v>556</v>
      </c>
      <c r="B30" s="39" t="s">
        <v>580</v>
      </c>
      <c r="C30" s="19" t="s">
        <v>581</v>
      </c>
      <c r="D30" s="40" t="s">
        <v>582</v>
      </c>
      <c r="E30" s="40">
        <v>200</v>
      </c>
      <c r="F30" s="40">
        <v>0.02</v>
      </c>
      <c r="G30" s="35">
        <f t="shared" si="2"/>
        <v>4</v>
      </c>
      <c r="H30" s="36">
        <f t="shared" si="3"/>
        <v>48</v>
      </c>
      <c r="I30" s="44" t="s">
        <v>196</v>
      </c>
      <c r="J30" s="42" t="s">
        <v>583</v>
      </c>
      <c r="K30" s="21" t="s">
        <v>510</v>
      </c>
    </row>
    <row r="31" spans="1:11" x14ac:dyDescent="0.25">
      <c r="A31" s="16" t="s">
        <v>556</v>
      </c>
      <c r="B31" s="33" t="s">
        <v>584</v>
      </c>
      <c r="C31" s="16" t="s">
        <v>585</v>
      </c>
      <c r="D31" s="34" t="s">
        <v>586</v>
      </c>
      <c r="E31" s="34">
        <v>500</v>
      </c>
      <c r="F31" s="34">
        <v>1.7999999999999999E-2</v>
      </c>
      <c r="G31" s="35">
        <f t="shared" si="2"/>
        <v>9</v>
      </c>
      <c r="H31" s="36">
        <f t="shared" si="3"/>
        <v>108</v>
      </c>
      <c r="I31" s="43" t="s">
        <v>196</v>
      </c>
      <c r="J31" s="38" t="s">
        <v>587</v>
      </c>
      <c r="K31" s="21" t="s">
        <v>510</v>
      </c>
    </row>
    <row r="32" spans="1:11" ht="22.5" x14ac:dyDescent="0.25">
      <c r="A32" s="19" t="s">
        <v>556</v>
      </c>
      <c r="B32" s="39" t="s">
        <v>588</v>
      </c>
      <c r="C32" s="19" t="s">
        <v>589</v>
      </c>
      <c r="D32" s="40" t="s">
        <v>586</v>
      </c>
      <c r="E32" s="40">
        <v>10000</v>
      </c>
      <c r="F32" s="40">
        <v>8.6999999999999994E-2</v>
      </c>
      <c r="G32" s="35">
        <f t="shared" si="2"/>
        <v>869.99999999999989</v>
      </c>
      <c r="H32" s="36">
        <f t="shared" si="3"/>
        <v>10439.999999999998</v>
      </c>
      <c r="I32" s="44" t="s">
        <v>196</v>
      </c>
      <c r="J32" s="42" t="s">
        <v>590</v>
      </c>
      <c r="K32" s="21" t="s">
        <v>510</v>
      </c>
    </row>
    <row r="33" spans="1:11" x14ac:dyDescent="0.25">
      <c r="A33" s="5" t="s">
        <v>591</v>
      </c>
      <c r="B33" s="5"/>
      <c r="C33" s="5"/>
      <c r="D33" s="5"/>
      <c r="E33" s="5"/>
      <c r="F33" s="5"/>
      <c r="G33" s="5"/>
      <c r="H33" s="5"/>
      <c r="I33" s="5"/>
      <c r="J33" s="5"/>
      <c r="K33" s="5"/>
    </row>
    <row r="34" spans="1:11" ht="22.5" x14ac:dyDescent="0.25">
      <c r="A34" s="19" t="s">
        <v>592</v>
      </c>
      <c r="B34" s="39" t="s">
        <v>593</v>
      </c>
      <c r="C34" s="19" t="s">
        <v>594</v>
      </c>
      <c r="D34" s="40" t="s">
        <v>507</v>
      </c>
      <c r="E34" s="40">
        <v>25</v>
      </c>
      <c r="F34" s="40">
        <v>15</v>
      </c>
      <c r="G34" s="35">
        <f>E34*F34</f>
        <v>375</v>
      </c>
      <c r="H34" s="36">
        <f>G34*12</f>
        <v>4500</v>
      </c>
      <c r="I34" s="44" t="s">
        <v>196</v>
      </c>
      <c r="J34" s="42" t="s">
        <v>595</v>
      </c>
      <c r="K34" s="21" t="s">
        <v>510</v>
      </c>
    </row>
    <row r="35" spans="1:11" x14ac:dyDescent="0.25">
      <c r="A35" s="16" t="s">
        <v>592</v>
      </c>
      <c r="B35" s="33" t="s">
        <v>596</v>
      </c>
      <c r="C35" s="16" t="s">
        <v>597</v>
      </c>
      <c r="D35" s="34" t="s">
        <v>598</v>
      </c>
      <c r="E35" s="34">
        <v>0</v>
      </c>
      <c r="F35" s="34">
        <v>0</v>
      </c>
      <c r="G35" s="35">
        <f>E35*F35</f>
        <v>0</v>
      </c>
      <c r="H35" s="36">
        <f>G35*12</f>
        <v>0</v>
      </c>
      <c r="I35" s="43" t="s">
        <v>560</v>
      </c>
      <c r="J35" s="38" t="s">
        <v>599</v>
      </c>
      <c r="K35" s="46" t="s">
        <v>600</v>
      </c>
    </row>
    <row r="36" spans="1:11" ht="22.5" x14ac:dyDescent="0.25">
      <c r="A36" s="19" t="s">
        <v>592</v>
      </c>
      <c r="B36" s="39" t="s">
        <v>601</v>
      </c>
      <c r="C36" s="19" t="s">
        <v>602</v>
      </c>
      <c r="D36" s="40" t="s">
        <v>598</v>
      </c>
      <c r="E36" s="40">
        <v>0</v>
      </c>
      <c r="F36" s="40">
        <v>0</v>
      </c>
      <c r="G36" s="35">
        <f>E36*F36</f>
        <v>0</v>
      </c>
      <c r="H36" s="36">
        <f>G36*12</f>
        <v>0</v>
      </c>
      <c r="I36" s="44" t="s">
        <v>560</v>
      </c>
      <c r="J36" s="42" t="s">
        <v>603</v>
      </c>
      <c r="K36" s="46" t="s">
        <v>600</v>
      </c>
    </row>
    <row r="37" spans="1:11" ht="33.75" x14ac:dyDescent="0.25">
      <c r="A37" s="16" t="s">
        <v>592</v>
      </c>
      <c r="B37" s="33" t="s">
        <v>604</v>
      </c>
      <c r="C37" s="16" t="s">
        <v>605</v>
      </c>
      <c r="D37" s="34" t="s">
        <v>598</v>
      </c>
      <c r="E37" s="34">
        <v>800</v>
      </c>
      <c r="F37" s="34">
        <v>0</v>
      </c>
      <c r="G37" s="35">
        <f>E37*F37</f>
        <v>0</v>
      </c>
      <c r="H37" s="36">
        <f>G37*12</f>
        <v>0</v>
      </c>
      <c r="I37" s="43" t="s">
        <v>606</v>
      </c>
      <c r="J37" s="38" t="s">
        <v>607</v>
      </c>
      <c r="K37" s="17" t="s">
        <v>608</v>
      </c>
    </row>
    <row r="38" spans="1:11" x14ac:dyDescent="0.25">
      <c r="A38" s="11" t="s">
        <v>609</v>
      </c>
      <c r="B38" s="11"/>
      <c r="C38" s="11"/>
      <c r="D38" s="11"/>
      <c r="E38" s="11"/>
      <c r="F38" s="11"/>
      <c r="G38" s="11"/>
      <c r="H38" s="11"/>
      <c r="I38" s="11"/>
      <c r="J38" s="11"/>
      <c r="K38" s="11"/>
    </row>
    <row r="39" spans="1:11" ht="22.5" x14ac:dyDescent="0.25">
      <c r="A39" s="16" t="s">
        <v>610</v>
      </c>
      <c r="B39" s="33" t="s">
        <v>611</v>
      </c>
      <c r="C39" s="16" t="s">
        <v>612</v>
      </c>
      <c r="D39" s="34" t="s">
        <v>613</v>
      </c>
      <c r="E39" s="34">
        <v>1</v>
      </c>
      <c r="F39" s="34">
        <v>12000</v>
      </c>
      <c r="G39" s="47">
        <f t="shared" ref="G39:G51" si="4">E39*F39</f>
        <v>12000</v>
      </c>
      <c r="H39" s="47">
        <f t="shared" ref="H39:H51" si="5">E39*F39</f>
        <v>12000</v>
      </c>
      <c r="I39" s="43" t="s">
        <v>560</v>
      </c>
      <c r="J39" s="38" t="s">
        <v>614</v>
      </c>
      <c r="K39" s="26" t="s">
        <v>615</v>
      </c>
    </row>
    <row r="40" spans="1:11" x14ac:dyDescent="0.25">
      <c r="A40" s="19" t="s">
        <v>610</v>
      </c>
      <c r="B40" s="39" t="s">
        <v>616</v>
      </c>
      <c r="C40" s="19" t="s">
        <v>612</v>
      </c>
      <c r="D40" s="40" t="s">
        <v>613</v>
      </c>
      <c r="E40" s="40">
        <v>1</v>
      </c>
      <c r="F40" s="40">
        <v>6000</v>
      </c>
      <c r="G40" s="47">
        <f t="shared" si="4"/>
        <v>6000</v>
      </c>
      <c r="H40" s="47">
        <f t="shared" si="5"/>
        <v>6000</v>
      </c>
      <c r="I40" s="44" t="s">
        <v>560</v>
      </c>
      <c r="J40" s="42" t="s">
        <v>617</v>
      </c>
      <c r="K40" s="26" t="s">
        <v>615</v>
      </c>
    </row>
    <row r="41" spans="1:11" ht="22.5" x14ac:dyDescent="0.25">
      <c r="A41" s="16" t="s">
        <v>610</v>
      </c>
      <c r="B41" s="33" t="s">
        <v>618</v>
      </c>
      <c r="C41" s="16" t="s">
        <v>612</v>
      </c>
      <c r="D41" s="34" t="s">
        <v>613</v>
      </c>
      <c r="E41" s="34">
        <v>1</v>
      </c>
      <c r="F41" s="34">
        <v>3600</v>
      </c>
      <c r="G41" s="47">
        <f t="shared" si="4"/>
        <v>3600</v>
      </c>
      <c r="H41" s="47">
        <f t="shared" si="5"/>
        <v>3600</v>
      </c>
      <c r="I41" s="43" t="s">
        <v>560</v>
      </c>
      <c r="J41" s="38" t="s">
        <v>619</v>
      </c>
      <c r="K41" s="26" t="s">
        <v>615</v>
      </c>
    </row>
    <row r="42" spans="1:11" ht="22.5" x14ac:dyDescent="0.25">
      <c r="A42" s="19" t="s">
        <v>610</v>
      </c>
      <c r="B42" s="39" t="s">
        <v>620</v>
      </c>
      <c r="C42" s="19" t="s">
        <v>612</v>
      </c>
      <c r="D42" s="40" t="s">
        <v>613</v>
      </c>
      <c r="E42" s="40">
        <v>1</v>
      </c>
      <c r="F42" s="40">
        <v>6000</v>
      </c>
      <c r="G42" s="47">
        <f t="shared" si="4"/>
        <v>6000</v>
      </c>
      <c r="H42" s="47">
        <f t="shared" si="5"/>
        <v>6000</v>
      </c>
      <c r="I42" s="44" t="s">
        <v>560</v>
      </c>
      <c r="J42" s="42" t="s">
        <v>621</v>
      </c>
      <c r="K42" s="26" t="s">
        <v>615</v>
      </c>
    </row>
    <row r="43" spans="1:11" x14ac:dyDescent="0.25">
      <c r="A43" s="16" t="s">
        <v>610</v>
      </c>
      <c r="B43" s="33" t="s">
        <v>622</v>
      </c>
      <c r="C43" s="16" t="s">
        <v>612</v>
      </c>
      <c r="D43" s="34" t="s">
        <v>613</v>
      </c>
      <c r="E43" s="34">
        <v>1</v>
      </c>
      <c r="F43" s="34">
        <v>7500</v>
      </c>
      <c r="G43" s="47">
        <f t="shared" si="4"/>
        <v>7500</v>
      </c>
      <c r="H43" s="47">
        <f t="shared" si="5"/>
        <v>7500</v>
      </c>
      <c r="I43" s="43" t="s">
        <v>560</v>
      </c>
      <c r="J43" s="38" t="s">
        <v>623</v>
      </c>
      <c r="K43" s="26" t="s">
        <v>615</v>
      </c>
    </row>
    <row r="44" spans="1:11" x14ac:dyDescent="0.25">
      <c r="A44" s="19" t="s">
        <v>610</v>
      </c>
      <c r="B44" s="39" t="s">
        <v>624</v>
      </c>
      <c r="C44" s="19" t="s">
        <v>612</v>
      </c>
      <c r="D44" s="40" t="s">
        <v>613</v>
      </c>
      <c r="E44" s="40">
        <v>1</v>
      </c>
      <c r="F44" s="40">
        <v>3000</v>
      </c>
      <c r="G44" s="47">
        <f t="shared" si="4"/>
        <v>3000</v>
      </c>
      <c r="H44" s="47">
        <f t="shared" si="5"/>
        <v>3000</v>
      </c>
      <c r="I44" s="44" t="s">
        <v>560</v>
      </c>
      <c r="J44" s="42" t="s">
        <v>625</v>
      </c>
      <c r="K44" s="26" t="s">
        <v>615</v>
      </c>
    </row>
    <row r="45" spans="1:11" x14ac:dyDescent="0.25">
      <c r="A45" s="16" t="s">
        <v>610</v>
      </c>
      <c r="B45" s="33" t="s">
        <v>626</v>
      </c>
      <c r="C45" s="16" t="s">
        <v>612</v>
      </c>
      <c r="D45" s="34" t="s">
        <v>613</v>
      </c>
      <c r="E45" s="34">
        <v>1</v>
      </c>
      <c r="F45" s="34">
        <v>2400</v>
      </c>
      <c r="G45" s="47">
        <f t="shared" si="4"/>
        <v>2400</v>
      </c>
      <c r="H45" s="47">
        <f t="shared" si="5"/>
        <v>2400</v>
      </c>
      <c r="I45" s="43" t="s">
        <v>560</v>
      </c>
      <c r="J45" s="38" t="s">
        <v>627</v>
      </c>
      <c r="K45" s="26" t="s">
        <v>615</v>
      </c>
    </row>
    <row r="46" spans="1:11" ht="22.5" x14ac:dyDescent="0.25">
      <c r="A46" s="19" t="s">
        <v>610</v>
      </c>
      <c r="B46" s="39" t="s">
        <v>628</v>
      </c>
      <c r="C46" s="19" t="s">
        <v>612</v>
      </c>
      <c r="D46" s="40" t="s">
        <v>613</v>
      </c>
      <c r="E46" s="40">
        <v>1</v>
      </c>
      <c r="F46" s="40">
        <v>6000</v>
      </c>
      <c r="G46" s="47">
        <f t="shared" si="4"/>
        <v>6000</v>
      </c>
      <c r="H46" s="47">
        <f t="shared" si="5"/>
        <v>6000</v>
      </c>
      <c r="I46" s="44" t="s">
        <v>560</v>
      </c>
      <c r="J46" s="42" t="s">
        <v>629</v>
      </c>
      <c r="K46" s="26" t="s">
        <v>615</v>
      </c>
    </row>
    <row r="47" spans="1:11" x14ac:dyDescent="0.25">
      <c r="A47" s="16" t="s">
        <v>610</v>
      </c>
      <c r="B47" s="33" t="s">
        <v>630</v>
      </c>
      <c r="C47" s="16" t="s">
        <v>631</v>
      </c>
      <c r="D47" s="34" t="s">
        <v>613</v>
      </c>
      <c r="E47" s="34">
        <v>1</v>
      </c>
      <c r="F47" s="34">
        <v>6000</v>
      </c>
      <c r="G47" s="47">
        <f t="shared" si="4"/>
        <v>6000</v>
      </c>
      <c r="H47" s="47">
        <f t="shared" si="5"/>
        <v>6000</v>
      </c>
      <c r="I47" s="43" t="s">
        <v>560</v>
      </c>
      <c r="J47" s="38" t="s">
        <v>632</v>
      </c>
      <c r="K47" s="26" t="s">
        <v>615</v>
      </c>
    </row>
    <row r="48" spans="1:11" x14ac:dyDescent="0.25">
      <c r="A48" s="19" t="s">
        <v>610</v>
      </c>
      <c r="B48" s="39" t="s">
        <v>633</v>
      </c>
      <c r="C48" s="19" t="s">
        <v>634</v>
      </c>
      <c r="D48" s="40" t="s">
        <v>613</v>
      </c>
      <c r="E48" s="40">
        <v>1</v>
      </c>
      <c r="F48" s="40">
        <v>9000</v>
      </c>
      <c r="G48" s="47">
        <f t="shared" si="4"/>
        <v>9000</v>
      </c>
      <c r="H48" s="47">
        <f t="shared" si="5"/>
        <v>9000</v>
      </c>
      <c r="I48" s="44" t="s">
        <v>560</v>
      </c>
      <c r="J48" s="42" t="s">
        <v>635</v>
      </c>
      <c r="K48" s="26" t="s">
        <v>615</v>
      </c>
    </row>
    <row r="49" spans="1:11" x14ac:dyDescent="0.25">
      <c r="A49" s="16" t="s">
        <v>610</v>
      </c>
      <c r="B49" s="33" t="s">
        <v>636</v>
      </c>
      <c r="C49" s="16" t="s">
        <v>637</v>
      </c>
      <c r="D49" s="34" t="s">
        <v>613</v>
      </c>
      <c r="E49" s="34">
        <v>1</v>
      </c>
      <c r="F49" s="34">
        <v>3000</v>
      </c>
      <c r="G49" s="47">
        <f t="shared" si="4"/>
        <v>3000</v>
      </c>
      <c r="H49" s="47">
        <f t="shared" si="5"/>
        <v>3000</v>
      </c>
      <c r="I49" s="43" t="s">
        <v>560</v>
      </c>
      <c r="J49" s="38" t="s">
        <v>638</v>
      </c>
      <c r="K49" s="26" t="s">
        <v>615</v>
      </c>
    </row>
    <row r="50" spans="1:11" x14ac:dyDescent="0.25">
      <c r="A50" s="19" t="s">
        <v>610</v>
      </c>
      <c r="B50" s="39" t="s">
        <v>639</v>
      </c>
      <c r="C50" s="19" t="s">
        <v>640</v>
      </c>
      <c r="D50" s="40" t="s">
        <v>613</v>
      </c>
      <c r="E50" s="40">
        <v>1</v>
      </c>
      <c r="F50" s="40">
        <v>3000</v>
      </c>
      <c r="G50" s="47">
        <f t="shared" si="4"/>
        <v>3000</v>
      </c>
      <c r="H50" s="47">
        <f t="shared" si="5"/>
        <v>3000</v>
      </c>
      <c r="I50" s="44" t="s">
        <v>560</v>
      </c>
      <c r="J50" s="42" t="s">
        <v>641</v>
      </c>
      <c r="K50" s="26" t="s">
        <v>615</v>
      </c>
    </row>
    <row r="51" spans="1:11" x14ac:dyDescent="0.25">
      <c r="A51" s="16" t="s">
        <v>610</v>
      </c>
      <c r="B51" s="33" t="s">
        <v>642</v>
      </c>
      <c r="C51" s="16" t="s">
        <v>643</v>
      </c>
      <c r="D51" s="34" t="s">
        <v>613</v>
      </c>
      <c r="E51" s="34">
        <v>1</v>
      </c>
      <c r="F51" s="34">
        <v>2000</v>
      </c>
      <c r="G51" s="47">
        <f t="shared" si="4"/>
        <v>2000</v>
      </c>
      <c r="H51" s="47">
        <f t="shared" si="5"/>
        <v>2000</v>
      </c>
      <c r="I51" s="43" t="s">
        <v>560</v>
      </c>
      <c r="J51" s="38" t="s">
        <v>644</v>
      </c>
      <c r="K51" s="26" t="s">
        <v>615</v>
      </c>
    </row>
    <row r="53" spans="1:11" x14ac:dyDescent="0.25">
      <c r="A53" s="4" t="s">
        <v>645</v>
      </c>
      <c r="B53" s="4"/>
      <c r="C53" s="4"/>
      <c r="D53" s="4"/>
      <c r="E53" s="4"/>
      <c r="F53" s="4"/>
      <c r="G53" s="48"/>
      <c r="H53" s="48"/>
      <c r="I53" s="48"/>
      <c r="J53" s="48"/>
      <c r="K53" s="48"/>
    </row>
    <row r="54" spans="1:11" ht="15.75" x14ac:dyDescent="0.25">
      <c r="A54" s="3" t="s">
        <v>646</v>
      </c>
      <c r="B54" s="3"/>
      <c r="C54" s="3"/>
      <c r="D54" s="3"/>
      <c r="E54" s="3"/>
      <c r="F54" s="49">
        <f>SUMIF(A4:A200,"POC Environment",G4:G200)</f>
        <v>1607.05</v>
      </c>
      <c r="G54" s="50"/>
      <c r="H54" s="50"/>
      <c r="I54" s="50"/>
      <c r="J54" s="50"/>
      <c r="K54" s="50"/>
    </row>
    <row r="55" spans="1:11" ht="15.75" x14ac:dyDescent="0.25">
      <c r="A55" s="2" t="s">
        <v>647</v>
      </c>
      <c r="B55" s="2"/>
      <c r="C55" s="2"/>
      <c r="D55" s="2"/>
      <c r="E55" s="2"/>
      <c r="F55" s="51">
        <f>SUMIF(A4:A52,"PROD — E3 Office Workers",G4:G52)+SUMIF(A4:A52,"PROD — F1 Frontline Workers",G4:G52)+SUMIF(A4:A52,"PROD — Shared Infrastructure",G4:G52)+SUMIF(A4:A52,"PROD — Security",G4:G52)</f>
        <v>6683.43</v>
      </c>
      <c r="G55" s="52"/>
      <c r="H55" s="52"/>
      <c r="I55" s="52"/>
      <c r="J55" s="52"/>
      <c r="K55" s="52"/>
    </row>
    <row r="56" spans="1:11" ht="15.75" x14ac:dyDescent="0.25">
      <c r="A56" s="1" t="s">
        <v>648</v>
      </c>
      <c r="B56" s="1"/>
      <c r="C56" s="1"/>
      <c r="D56" s="1"/>
      <c r="E56" s="1"/>
      <c r="F56" s="53">
        <f>SUMIF(A4:A52,"PROD — E3 Office Workers",H4:H52)+SUMIF(A4:A52,"PROD — F1 Frontline Workers",H4:H52)+SUMIF(A4:A52,"PROD — Shared Infrastructure",H4:H52)+SUMIF(A4:A52,"PROD — Security",H4:H52)</f>
        <v>80201.16</v>
      </c>
      <c r="G56" s="54"/>
      <c r="H56" s="54"/>
      <c r="I56" s="54"/>
      <c r="J56" s="54"/>
      <c r="K56" s="54"/>
    </row>
    <row r="57" spans="1:11" ht="15.75" x14ac:dyDescent="0.25">
      <c r="A57" s="89" t="s">
        <v>649</v>
      </c>
      <c r="B57" s="89"/>
      <c r="C57" s="89"/>
      <c r="D57" s="89"/>
      <c r="E57" s="89"/>
      <c r="F57" s="55">
        <f>SUMIF(A4:A52,"ONE-TIME MIGRATION COSTS",H4:H52)</f>
        <v>69500</v>
      </c>
      <c r="G57" s="56"/>
      <c r="H57" s="56"/>
      <c r="I57" s="56"/>
      <c r="J57" s="56"/>
      <c r="K57" s="56"/>
    </row>
    <row r="58" spans="1:11" ht="15.75" x14ac:dyDescent="0.25">
      <c r="A58" s="90" t="s">
        <v>650</v>
      </c>
      <c r="B58" s="90"/>
      <c r="C58" s="90"/>
      <c r="D58" s="90"/>
      <c r="E58" s="90"/>
      <c r="F58" s="57">
        <v>362000</v>
      </c>
      <c r="G58" s="58"/>
      <c r="H58" s="58"/>
      <c r="I58" s="58"/>
      <c r="J58" s="58"/>
      <c r="K58" s="58"/>
    </row>
    <row r="59" spans="1:11" ht="15.75" x14ac:dyDescent="0.25">
      <c r="A59" s="1" t="s">
        <v>651</v>
      </c>
      <c r="B59" s="1"/>
      <c r="C59" s="1"/>
      <c r="D59" s="1"/>
      <c r="E59" s="1"/>
      <c r="F59" s="53">
        <f>362000-SUMIF(A4:A52,"PROD — E3 Office Workers",H4:H52)-SUMIF(A4:A52,"PROD — F1 Frontline Workers",H4:H52)-SUMIF(A4:A52,"PROD — Shared Infrastructure",H4:H52)-SUMIF(A4:A52,"PROD — Security",H4:H52)</f>
        <v>281798.84000000003</v>
      </c>
      <c r="G59" s="54"/>
      <c r="H59" s="54"/>
      <c r="I59" s="54"/>
      <c r="J59" s="54"/>
      <c r="K59" s="54"/>
    </row>
  </sheetData>
  <mergeCells count="15">
    <mergeCell ref="A55:E55"/>
    <mergeCell ref="A56:E56"/>
    <mergeCell ref="A57:E57"/>
    <mergeCell ref="A58:E58"/>
    <mergeCell ref="A59:E59"/>
    <mergeCell ref="A22:K22"/>
    <mergeCell ref="A33:K33"/>
    <mergeCell ref="A38:K38"/>
    <mergeCell ref="A53:F53"/>
    <mergeCell ref="A54:E54"/>
    <mergeCell ref="A1:K1"/>
    <mergeCell ref="A2:K2"/>
    <mergeCell ref="A4:K4"/>
    <mergeCell ref="A11:K11"/>
    <mergeCell ref="A17:K1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71C1C"/>
  </sheetPr>
  <dimension ref="A1:J48"/>
  <sheetViews>
    <sheetView zoomScaleNormal="100" workbookViewId="0">
      <pane xSplit="1" ySplit="3" topLeftCell="B4" activePane="bottomRight" state="frozen"/>
      <selection pane="topRight" activeCell="B1" sqref="B1"/>
      <selection pane="bottomLeft" activeCell="A4" sqref="A4"/>
      <selection pane="bottomRight" sqref="A1:J1"/>
    </sheetView>
  </sheetViews>
  <sheetFormatPr defaultColWidth="8.7109375" defaultRowHeight="15" x14ac:dyDescent="0.25"/>
  <cols>
    <col min="1" max="1" width="3" bestFit="1" customWidth="1"/>
    <col min="2" max="2" width="30" customWidth="1"/>
    <col min="3" max="3" width="21.85546875" bestFit="1" customWidth="1"/>
    <col min="4" max="4" width="45" customWidth="1"/>
    <col min="5" max="5" width="8.28515625" bestFit="1" customWidth="1"/>
    <col min="6" max="6" width="15.5703125" bestFit="1" customWidth="1"/>
    <col min="7" max="7" width="31.42578125" bestFit="1" customWidth="1"/>
    <col min="8" max="8" width="19.42578125" bestFit="1" customWidth="1"/>
    <col min="9" max="9" width="94.140625" bestFit="1" customWidth="1"/>
  </cols>
  <sheetData>
    <row r="1" spans="1:10" ht="20.25" x14ac:dyDescent="0.25">
      <c r="A1" s="14" t="s">
        <v>1213</v>
      </c>
      <c r="B1" s="14"/>
      <c r="C1" s="14"/>
      <c r="D1" s="14"/>
      <c r="E1" s="14"/>
      <c r="F1" s="14"/>
      <c r="G1" s="14"/>
      <c r="H1" s="14"/>
      <c r="I1" s="14"/>
      <c r="J1" s="14"/>
    </row>
    <row r="2" spans="1:10" x14ac:dyDescent="0.25">
      <c r="A2" s="13" t="s">
        <v>652</v>
      </c>
      <c r="B2" s="13"/>
      <c r="C2" s="13"/>
      <c r="D2" s="13"/>
      <c r="E2" s="13"/>
      <c r="F2" s="13"/>
      <c r="G2" s="13"/>
      <c r="H2" s="13"/>
      <c r="I2" s="13"/>
      <c r="J2" s="13"/>
    </row>
    <row r="3" spans="1:10" x14ac:dyDescent="0.25">
      <c r="A3" s="59" t="s">
        <v>0</v>
      </c>
      <c r="B3" s="59" t="s">
        <v>653</v>
      </c>
      <c r="C3" s="59" t="s">
        <v>654</v>
      </c>
      <c r="D3" s="59" t="s">
        <v>655</v>
      </c>
      <c r="E3" s="59" t="s">
        <v>5</v>
      </c>
      <c r="F3" s="59" t="s">
        <v>656</v>
      </c>
      <c r="G3" s="59" t="s">
        <v>657</v>
      </c>
      <c r="H3" s="59" t="s">
        <v>658</v>
      </c>
      <c r="I3" s="59" t="s">
        <v>659</v>
      </c>
    </row>
    <row r="4" spans="1:10" x14ac:dyDescent="0.25">
      <c r="A4" s="5" t="s">
        <v>660</v>
      </c>
      <c r="B4" s="5"/>
      <c r="C4" s="5"/>
      <c r="D4" s="5"/>
      <c r="E4" s="5"/>
      <c r="F4" s="5"/>
      <c r="G4" s="5"/>
      <c r="H4" s="5"/>
      <c r="I4" s="5"/>
    </row>
    <row r="5" spans="1:10" ht="36" x14ac:dyDescent="0.25">
      <c r="A5" s="16">
        <v>1</v>
      </c>
      <c r="B5" s="16" t="s">
        <v>661</v>
      </c>
      <c r="C5" s="16" t="s">
        <v>662</v>
      </c>
      <c r="D5" s="16" t="s">
        <v>663</v>
      </c>
      <c r="E5" s="24" t="s">
        <v>71</v>
      </c>
      <c r="F5" s="60" t="s">
        <v>664</v>
      </c>
      <c r="G5" s="16" t="s">
        <v>665</v>
      </c>
      <c r="H5" s="17" t="s">
        <v>666</v>
      </c>
      <c r="I5" s="16" t="s">
        <v>667</v>
      </c>
    </row>
    <row r="6" spans="1:10" ht="48" x14ac:dyDescent="0.25">
      <c r="A6" s="19">
        <v>2</v>
      </c>
      <c r="B6" s="19" t="s">
        <v>668</v>
      </c>
      <c r="C6" s="19" t="s">
        <v>669</v>
      </c>
      <c r="D6" s="19" t="s">
        <v>670</v>
      </c>
      <c r="E6" s="17" t="s">
        <v>14</v>
      </c>
      <c r="F6" s="46" t="s">
        <v>671</v>
      </c>
      <c r="G6" s="19" t="s">
        <v>672</v>
      </c>
      <c r="H6" s="46" t="s">
        <v>673</v>
      </c>
      <c r="I6" s="19" t="s">
        <v>674</v>
      </c>
    </row>
    <row r="7" spans="1:10" ht="36" x14ac:dyDescent="0.25">
      <c r="A7" s="16">
        <v>3</v>
      </c>
      <c r="B7" s="16" t="s">
        <v>675</v>
      </c>
      <c r="C7" s="16" t="s">
        <v>669</v>
      </c>
      <c r="D7" s="16" t="s">
        <v>676</v>
      </c>
      <c r="E7" s="21" t="s">
        <v>28</v>
      </c>
      <c r="F7" s="61" t="s">
        <v>677</v>
      </c>
      <c r="G7" s="16" t="s">
        <v>675</v>
      </c>
      <c r="H7" s="46" t="s">
        <v>673</v>
      </c>
      <c r="I7" s="16" t="s">
        <v>678</v>
      </c>
    </row>
    <row r="8" spans="1:10" ht="36" x14ac:dyDescent="0.25">
      <c r="A8" s="19">
        <v>4</v>
      </c>
      <c r="B8" s="19" t="s">
        <v>679</v>
      </c>
      <c r="C8" s="19" t="s">
        <v>680</v>
      </c>
      <c r="D8" s="19" t="s">
        <v>681</v>
      </c>
      <c r="E8" s="17" t="s">
        <v>14</v>
      </c>
      <c r="F8" s="60" t="s">
        <v>664</v>
      </c>
      <c r="G8" s="19" t="s">
        <v>682</v>
      </c>
      <c r="H8" s="46" t="s">
        <v>673</v>
      </c>
      <c r="I8" s="19" t="s">
        <v>683</v>
      </c>
    </row>
    <row r="9" spans="1:10" ht="36" x14ac:dyDescent="0.25">
      <c r="A9" s="16">
        <v>5</v>
      </c>
      <c r="B9" s="16" t="s">
        <v>684</v>
      </c>
      <c r="C9" s="16" t="s">
        <v>662</v>
      </c>
      <c r="D9" s="16" t="s">
        <v>685</v>
      </c>
      <c r="E9" s="24" t="s">
        <v>71</v>
      </c>
      <c r="F9" s="60" t="s">
        <v>664</v>
      </c>
      <c r="G9" s="16" t="s">
        <v>686</v>
      </c>
      <c r="H9" s="17" t="s">
        <v>666</v>
      </c>
      <c r="I9" s="16" t="s">
        <v>687</v>
      </c>
    </row>
    <row r="10" spans="1:10" ht="36" x14ac:dyDescent="0.25">
      <c r="A10" s="19">
        <v>6</v>
      </c>
      <c r="B10" s="19" t="s">
        <v>688</v>
      </c>
      <c r="C10" s="19" t="s">
        <v>689</v>
      </c>
      <c r="D10" s="19" t="s">
        <v>690</v>
      </c>
      <c r="E10" s="26" t="s">
        <v>135</v>
      </c>
      <c r="F10" s="60" t="s">
        <v>664</v>
      </c>
      <c r="G10" s="19" t="s">
        <v>691</v>
      </c>
      <c r="H10" s="17" t="s">
        <v>666</v>
      </c>
      <c r="I10" s="19" t="s">
        <v>692</v>
      </c>
    </row>
    <row r="11" spans="1:10" x14ac:dyDescent="0.25">
      <c r="A11" s="5" t="s">
        <v>693</v>
      </c>
      <c r="B11" s="5"/>
      <c r="C11" s="5"/>
      <c r="D11" s="5"/>
      <c r="E11" s="5"/>
      <c r="F11" s="5"/>
      <c r="G11" s="5"/>
      <c r="H11" s="5"/>
      <c r="I11" s="5"/>
    </row>
    <row r="12" spans="1:10" ht="36" x14ac:dyDescent="0.25">
      <c r="A12" s="16">
        <v>7</v>
      </c>
      <c r="B12" s="16" t="s">
        <v>694</v>
      </c>
      <c r="C12" s="16" t="s">
        <v>695</v>
      </c>
      <c r="D12" s="16" t="s">
        <v>696</v>
      </c>
      <c r="E12" s="17" t="s">
        <v>14</v>
      </c>
      <c r="F12" s="62" t="s">
        <v>697</v>
      </c>
      <c r="G12" s="16" t="s">
        <v>698</v>
      </c>
      <c r="H12" s="46" t="s">
        <v>673</v>
      </c>
      <c r="I12" s="16" t="s">
        <v>699</v>
      </c>
    </row>
    <row r="13" spans="1:10" ht="36" x14ac:dyDescent="0.25">
      <c r="A13" s="19">
        <v>8</v>
      </c>
      <c r="B13" s="19" t="s">
        <v>700</v>
      </c>
      <c r="C13" s="19" t="s">
        <v>701</v>
      </c>
      <c r="D13" s="19" t="s">
        <v>702</v>
      </c>
      <c r="E13" s="17" t="s">
        <v>14</v>
      </c>
      <c r="F13" s="60" t="s">
        <v>664</v>
      </c>
      <c r="G13" s="19" t="s">
        <v>701</v>
      </c>
      <c r="H13" s="46" t="s">
        <v>673</v>
      </c>
      <c r="I13" s="19" t="s">
        <v>703</v>
      </c>
    </row>
    <row r="14" spans="1:10" x14ac:dyDescent="0.25">
      <c r="A14" s="5" t="s">
        <v>704</v>
      </c>
      <c r="B14" s="5"/>
      <c r="C14" s="5"/>
      <c r="D14" s="5"/>
      <c r="E14" s="5"/>
      <c r="F14" s="5"/>
      <c r="G14" s="5"/>
      <c r="H14" s="5"/>
      <c r="I14" s="5"/>
    </row>
    <row r="15" spans="1:10" ht="48" x14ac:dyDescent="0.25">
      <c r="A15" s="16">
        <v>9</v>
      </c>
      <c r="B15" s="16" t="s">
        <v>705</v>
      </c>
      <c r="C15" s="16" t="s">
        <v>706</v>
      </c>
      <c r="D15" s="16" t="s">
        <v>707</v>
      </c>
      <c r="E15" s="24" t="s">
        <v>71</v>
      </c>
      <c r="F15" s="61" t="s">
        <v>677</v>
      </c>
      <c r="G15" s="16" t="s">
        <v>708</v>
      </c>
      <c r="H15" s="17" t="s">
        <v>666</v>
      </c>
      <c r="I15" s="16" t="s">
        <v>709</v>
      </c>
    </row>
    <row r="16" spans="1:10" ht="36" x14ac:dyDescent="0.25">
      <c r="A16" s="19">
        <v>10</v>
      </c>
      <c r="B16" s="19" t="s">
        <v>710</v>
      </c>
      <c r="C16" s="19" t="s">
        <v>711</v>
      </c>
      <c r="D16" s="19" t="s">
        <v>712</v>
      </c>
      <c r="E16" s="21" t="s">
        <v>28</v>
      </c>
      <c r="F16" s="61" t="s">
        <v>677</v>
      </c>
      <c r="G16" s="19" t="s">
        <v>713</v>
      </c>
      <c r="H16" s="46" t="s">
        <v>673</v>
      </c>
      <c r="I16" s="19" t="s">
        <v>714</v>
      </c>
    </row>
    <row r="17" spans="1:9" ht="36" x14ac:dyDescent="0.25">
      <c r="A17" s="16">
        <v>11</v>
      </c>
      <c r="B17" s="16" t="s">
        <v>715</v>
      </c>
      <c r="C17" s="16" t="s">
        <v>716</v>
      </c>
      <c r="D17" s="16" t="s">
        <v>717</v>
      </c>
      <c r="E17" s="24" t="s">
        <v>71</v>
      </c>
      <c r="F17" s="61" t="s">
        <v>677</v>
      </c>
      <c r="G17" s="16" t="s">
        <v>718</v>
      </c>
      <c r="H17" s="17" t="s">
        <v>666</v>
      </c>
      <c r="I17" s="16" t="s">
        <v>719</v>
      </c>
    </row>
    <row r="18" spans="1:9" ht="36" x14ac:dyDescent="0.25">
      <c r="A18" s="19">
        <v>12</v>
      </c>
      <c r="B18" s="19" t="s">
        <v>720</v>
      </c>
      <c r="C18" s="19" t="s">
        <v>721</v>
      </c>
      <c r="D18" s="19" t="s">
        <v>722</v>
      </c>
      <c r="E18" s="17" t="s">
        <v>14</v>
      </c>
      <c r="F18" s="61" t="s">
        <v>677</v>
      </c>
      <c r="G18" s="19" t="s">
        <v>723</v>
      </c>
      <c r="H18" s="17" t="s">
        <v>666</v>
      </c>
      <c r="I18" s="19" t="s">
        <v>724</v>
      </c>
    </row>
    <row r="19" spans="1:9" x14ac:dyDescent="0.25">
      <c r="A19" s="5" t="s">
        <v>725</v>
      </c>
      <c r="B19" s="5"/>
      <c r="C19" s="5"/>
      <c r="D19" s="5"/>
      <c r="E19" s="5"/>
      <c r="F19" s="5"/>
      <c r="G19" s="5"/>
      <c r="H19" s="5"/>
      <c r="I19" s="5"/>
    </row>
    <row r="20" spans="1:9" ht="48" x14ac:dyDescent="0.25">
      <c r="A20" s="16">
        <v>13</v>
      </c>
      <c r="B20" s="16" t="s">
        <v>726</v>
      </c>
      <c r="C20" s="16" t="s">
        <v>727</v>
      </c>
      <c r="D20" s="16" t="s">
        <v>728</v>
      </c>
      <c r="E20" s="24" t="s">
        <v>71</v>
      </c>
      <c r="F20" s="24" t="s">
        <v>729</v>
      </c>
      <c r="G20" s="16" t="s">
        <v>730</v>
      </c>
      <c r="H20" s="17" t="s">
        <v>666</v>
      </c>
      <c r="I20" s="16" t="s">
        <v>731</v>
      </c>
    </row>
    <row r="21" spans="1:9" ht="48" x14ac:dyDescent="0.25">
      <c r="A21" s="19">
        <v>14</v>
      </c>
      <c r="B21" s="19" t="s">
        <v>732</v>
      </c>
      <c r="C21" s="19" t="s">
        <v>733</v>
      </c>
      <c r="D21" s="19" t="s">
        <v>734</v>
      </c>
      <c r="E21" s="17" t="s">
        <v>14</v>
      </c>
      <c r="F21" s="24" t="s">
        <v>729</v>
      </c>
      <c r="G21" s="19" t="s">
        <v>735</v>
      </c>
      <c r="H21" s="17" t="s">
        <v>666</v>
      </c>
      <c r="I21" s="19" t="s">
        <v>736</v>
      </c>
    </row>
    <row r="22" spans="1:9" ht="36" x14ac:dyDescent="0.25">
      <c r="A22" s="16">
        <v>15</v>
      </c>
      <c r="B22" s="16" t="s">
        <v>737</v>
      </c>
      <c r="C22" s="16" t="s">
        <v>738</v>
      </c>
      <c r="D22" s="16" t="s">
        <v>739</v>
      </c>
      <c r="E22" s="24" t="s">
        <v>71</v>
      </c>
      <c r="F22" s="60" t="s">
        <v>664</v>
      </c>
      <c r="G22" s="16" t="s">
        <v>740</v>
      </c>
      <c r="H22" s="17" t="s">
        <v>666</v>
      </c>
      <c r="I22" s="16" t="s">
        <v>741</v>
      </c>
    </row>
    <row r="23" spans="1:9" ht="36" x14ac:dyDescent="0.25">
      <c r="A23" s="19">
        <v>16</v>
      </c>
      <c r="B23" s="19" t="s">
        <v>742</v>
      </c>
      <c r="C23" s="19" t="s">
        <v>743</v>
      </c>
      <c r="D23" s="19" t="s">
        <v>744</v>
      </c>
      <c r="E23" s="17" t="s">
        <v>14</v>
      </c>
      <c r="F23" s="17" t="s">
        <v>745</v>
      </c>
      <c r="G23" s="19" t="s">
        <v>746</v>
      </c>
      <c r="H23" s="17" t="s">
        <v>666</v>
      </c>
      <c r="I23" s="19" t="s">
        <v>747</v>
      </c>
    </row>
    <row r="24" spans="1:9" ht="36" x14ac:dyDescent="0.25">
      <c r="A24" s="16">
        <v>17</v>
      </c>
      <c r="B24" s="16" t="s">
        <v>748</v>
      </c>
      <c r="C24" s="16" t="s">
        <v>749</v>
      </c>
      <c r="D24" s="16" t="s">
        <v>750</v>
      </c>
      <c r="E24" s="21" t="s">
        <v>28</v>
      </c>
      <c r="F24" s="17" t="s">
        <v>745</v>
      </c>
      <c r="G24" s="16" t="s">
        <v>751</v>
      </c>
      <c r="H24" s="21" t="s">
        <v>752</v>
      </c>
      <c r="I24" s="16" t="s">
        <v>753</v>
      </c>
    </row>
    <row r="25" spans="1:9" ht="36" x14ac:dyDescent="0.25">
      <c r="A25" s="19">
        <v>18</v>
      </c>
      <c r="B25" s="19" t="s">
        <v>754</v>
      </c>
      <c r="C25" s="19" t="s">
        <v>755</v>
      </c>
      <c r="D25" s="19" t="s">
        <v>756</v>
      </c>
      <c r="E25" s="17" t="s">
        <v>14</v>
      </c>
      <c r="F25" s="17" t="s">
        <v>745</v>
      </c>
      <c r="G25" s="19" t="s">
        <v>36</v>
      </c>
      <c r="H25" s="17" t="s">
        <v>666</v>
      </c>
      <c r="I25" s="19" t="s">
        <v>757</v>
      </c>
    </row>
    <row r="26" spans="1:9" ht="36" x14ac:dyDescent="0.25">
      <c r="A26" s="16">
        <v>19</v>
      </c>
      <c r="B26" s="16" t="s">
        <v>758</v>
      </c>
      <c r="C26" s="16" t="s">
        <v>759</v>
      </c>
      <c r="D26" s="16" t="s">
        <v>760</v>
      </c>
      <c r="E26" s="17" t="s">
        <v>14</v>
      </c>
      <c r="F26" s="24" t="s">
        <v>729</v>
      </c>
      <c r="G26" s="16" t="s">
        <v>761</v>
      </c>
      <c r="H26" s="46" t="s">
        <v>673</v>
      </c>
      <c r="I26" s="16" t="s">
        <v>762</v>
      </c>
    </row>
    <row r="27" spans="1:9" ht="36" x14ac:dyDescent="0.25">
      <c r="A27" s="19">
        <v>20</v>
      </c>
      <c r="B27" s="19" t="s">
        <v>763</v>
      </c>
      <c r="C27" s="19" t="s">
        <v>764</v>
      </c>
      <c r="D27" s="19" t="s">
        <v>765</v>
      </c>
      <c r="E27" s="17" t="s">
        <v>14</v>
      </c>
      <c r="F27" s="61" t="s">
        <v>677</v>
      </c>
      <c r="G27" s="19" t="s">
        <v>766</v>
      </c>
      <c r="H27" s="46" t="s">
        <v>673</v>
      </c>
      <c r="I27" s="19" t="s">
        <v>767</v>
      </c>
    </row>
    <row r="28" spans="1:9" x14ac:dyDescent="0.25">
      <c r="A28" s="5" t="s">
        <v>768</v>
      </c>
      <c r="B28" s="5"/>
      <c r="C28" s="5"/>
      <c r="D28" s="5"/>
      <c r="E28" s="5"/>
      <c r="F28" s="5"/>
      <c r="G28" s="5"/>
      <c r="H28" s="5"/>
      <c r="I28" s="5"/>
    </row>
    <row r="29" spans="1:9" ht="48" x14ac:dyDescent="0.25">
      <c r="A29" s="16">
        <v>21</v>
      </c>
      <c r="B29" s="16" t="s">
        <v>769</v>
      </c>
      <c r="C29" s="16" t="s">
        <v>770</v>
      </c>
      <c r="D29" s="16" t="s">
        <v>771</v>
      </c>
      <c r="E29" s="24" t="s">
        <v>71</v>
      </c>
      <c r="F29" s="17" t="s">
        <v>745</v>
      </c>
      <c r="G29" s="16" t="s">
        <v>772</v>
      </c>
      <c r="H29" s="17" t="s">
        <v>666</v>
      </c>
      <c r="I29" s="16" t="s">
        <v>773</v>
      </c>
    </row>
    <row r="30" spans="1:9" ht="36" x14ac:dyDescent="0.25">
      <c r="A30" s="19">
        <v>22</v>
      </c>
      <c r="B30" s="19" t="s">
        <v>774</v>
      </c>
      <c r="C30" s="19" t="s">
        <v>770</v>
      </c>
      <c r="D30" s="19" t="s">
        <v>775</v>
      </c>
      <c r="E30" s="17" t="s">
        <v>14</v>
      </c>
      <c r="F30" s="17" t="s">
        <v>745</v>
      </c>
      <c r="G30" s="19" t="s">
        <v>776</v>
      </c>
      <c r="H30" s="46" t="s">
        <v>673</v>
      </c>
      <c r="I30" s="19" t="s">
        <v>777</v>
      </c>
    </row>
    <row r="31" spans="1:9" ht="36" x14ac:dyDescent="0.25">
      <c r="A31" s="16">
        <v>23</v>
      </c>
      <c r="B31" s="16" t="s">
        <v>778</v>
      </c>
      <c r="C31" s="16" t="s">
        <v>779</v>
      </c>
      <c r="D31" s="16" t="s">
        <v>780</v>
      </c>
      <c r="E31" s="17" t="s">
        <v>14</v>
      </c>
      <c r="F31" s="46" t="s">
        <v>671</v>
      </c>
      <c r="G31" s="16" t="s">
        <v>781</v>
      </c>
      <c r="H31" s="17" t="s">
        <v>666</v>
      </c>
      <c r="I31" s="16" t="s">
        <v>782</v>
      </c>
    </row>
    <row r="32" spans="1:9" ht="36" x14ac:dyDescent="0.25">
      <c r="A32" s="19">
        <v>24</v>
      </c>
      <c r="B32" s="19" t="s">
        <v>783</v>
      </c>
      <c r="C32" s="19" t="s">
        <v>662</v>
      </c>
      <c r="D32" s="19" t="s">
        <v>784</v>
      </c>
      <c r="E32" s="17" t="s">
        <v>14</v>
      </c>
      <c r="F32" s="60" t="s">
        <v>664</v>
      </c>
      <c r="G32" s="19" t="s">
        <v>785</v>
      </c>
      <c r="H32" s="46" t="s">
        <v>673</v>
      </c>
      <c r="I32" s="19" t="s">
        <v>786</v>
      </c>
    </row>
    <row r="33" spans="1:9" ht="36" x14ac:dyDescent="0.25">
      <c r="A33" s="16">
        <v>25</v>
      </c>
      <c r="B33" s="16" t="s">
        <v>787</v>
      </c>
      <c r="C33" s="16" t="s">
        <v>788</v>
      </c>
      <c r="D33" s="16" t="s">
        <v>789</v>
      </c>
      <c r="E33" s="24" t="s">
        <v>71</v>
      </c>
      <c r="F33" s="61" t="s">
        <v>677</v>
      </c>
      <c r="G33" s="16" t="s">
        <v>790</v>
      </c>
      <c r="H33" s="17" t="s">
        <v>666</v>
      </c>
      <c r="I33" s="16" t="s">
        <v>791</v>
      </c>
    </row>
    <row r="34" spans="1:9" x14ac:dyDescent="0.25">
      <c r="A34" s="5" t="s">
        <v>792</v>
      </c>
      <c r="B34" s="5"/>
      <c r="C34" s="5"/>
      <c r="D34" s="5"/>
      <c r="E34" s="5"/>
      <c r="F34" s="5"/>
      <c r="G34" s="5"/>
      <c r="H34" s="5"/>
      <c r="I34" s="5"/>
    </row>
    <row r="35" spans="1:9" ht="36" x14ac:dyDescent="0.25">
      <c r="A35" s="19">
        <v>26</v>
      </c>
      <c r="B35" s="19" t="s">
        <v>793</v>
      </c>
      <c r="C35" s="19" t="s">
        <v>794</v>
      </c>
      <c r="D35" s="19" t="s">
        <v>795</v>
      </c>
      <c r="E35" s="26" t="s">
        <v>135</v>
      </c>
      <c r="F35" s="60" t="s">
        <v>664</v>
      </c>
      <c r="G35" s="19" t="s">
        <v>796</v>
      </c>
      <c r="H35" s="17" t="s">
        <v>666</v>
      </c>
      <c r="I35" s="19" t="s">
        <v>797</v>
      </c>
    </row>
    <row r="36" spans="1:9" ht="36" x14ac:dyDescent="0.25">
      <c r="A36" s="16">
        <v>27</v>
      </c>
      <c r="B36" s="16" t="s">
        <v>798</v>
      </c>
      <c r="C36" s="16" t="s">
        <v>759</v>
      </c>
      <c r="D36" s="16" t="s">
        <v>799</v>
      </c>
      <c r="E36" s="17" t="s">
        <v>14</v>
      </c>
      <c r="F36" s="24" t="s">
        <v>729</v>
      </c>
      <c r="G36" s="16" t="s">
        <v>800</v>
      </c>
      <c r="H36" s="46" t="s">
        <v>673</v>
      </c>
      <c r="I36" s="16" t="s">
        <v>801</v>
      </c>
    </row>
    <row r="37" spans="1:9" ht="36" x14ac:dyDescent="0.25">
      <c r="A37" s="19">
        <v>28</v>
      </c>
      <c r="B37" s="19" t="s">
        <v>802</v>
      </c>
      <c r="C37" s="19" t="s">
        <v>803</v>
      </c>
      <c r="D37" s="19" t="s">
        <v>804</v>
      </c>
      <c r="E37" s="17" t="s">
        <v>14</v>
      </c>
      <c r="F37" s="60" t="s">
        <v>664</v>
      </c>
      <c r="G37" s="19" t="s">
        <v>805</v>
      </c>
      <c r="H37" s="17" t="s">
        <v>666</v>
      </c>
      <c r="I37" s="19" t="s">
        <v>806</v>
      </c>
    </row>
    <row r="38" spans="1:9" ht="36" x14ac:dyDescent="0.25">
      <c r="A38" s="16">
        <v>29</v>
      </c>
      <c r="B38" s="16" t="s">
        <v>807</v>
      </c>
      <c r="C38" s="16" t="s">
        <v>808</v>
      </c>
      <c r="D38" s="16" t="s">
        <v>809</v>
      </c>
      <c r="E38" s="26" t="s">
        <v>135</v>
      </c>
      <c r="F38" s="24" t="s">
        <v>729</v>
      </c>
      <c r="G38" s="16" t="s">
        <v>810</v>
      </c>
      <c r="H38" s="17" t="s">
        <v>666</v>
      </c>
      <c r="I38" s="16" t="s">
        <v>811</v>
      </c>
    </row>
    <row r="39" spans="1:9" ht="48" x14ac:dyDescent="0.25">
      <c r="A39" s="19">
        <v>30</v>
      </c>
      <c r="B39" s="19" t="s">
        <v>812</v>
      </c>
      <c r="C39" s="19" t="s">
        <v>813</v>
      </c>
      <c r="D39" s="19" t="s">
        <v>814</v>
      </c>
      <c r="E39" s="24" t="s">
        <v>71</v>
      </c>
      <c r="F39" s="17" t="s">
        <v>745</v>
      </c>
      <c r="G39" s="19" t="s">
        <v>815</v>
      </c>
      <c r="H39" s="17" t="s">
        <v>666</v>
      </c>
      <c r="I39" s="19" t="s">
        <v>816</v>
      </c>
    </row>
    <row r="41" spans="1:9" x14ac:dyDescent="0.25">
      <c r="A41" s="91" t="s">
        <v>817</v>
      </c>
      <c r="B41" s="91"/>
      <c r="C41" s="91"/>
      <c r="D41" s="91"/>
      <c r="E41" s="91"/>
      <c r="F41" s="91"/>
      <c r="G41" s="91"/>
      <c r="H41" s="91"/>
      <c r="I41" s="91"/>
    </row>
    <row r="42" spans="1:9" ht="48" x14ac:dyDescent="0.25">
      <c r="A42" s="16">
        <v>31</v>
      </c>
      <c r="B42" s="16" t="s">
        <v>818</v>
      </c>
      <c r="C42" s="16" t="s">
        <v>819</v>
      </c>
      <c r="D42" s="16" t="s">
        <v>820</v>
      </c>
      <c r="E42" s="24" t="s">
        <v>71</v>
      </c>
      <c r="F42" s="60" t="s">
        <v>664</v>
      </c>
      <c r="G42" s="16" t="s">
        <v>821</v>
      </c>
      <c r="H42" s="46" t="s">
        <v>673</v>
      </c>
      <c r="I42" s="16" t="s">
        <v>822</v>
      </c>
    </row>
    <row r="43" spans="1:9" ht="48" x14ac:dyDescent="0.25">
      <c r="A43" s="19">
        <v>32</v>
      </c>
      <c r="B43" s="19" t="s">
        <v>823</v>
      </c>
      <c r="C43" s="19" t="s">
        <v>824</v>
      </c>
      <c r="D43" s="19" t="s">
        <v>825</v>
      </c>
      <c r="E43" s="24" t="s">
        <v>71</v>
      </c>
      <c r="F43" s="46" t="s">
        <v>671</v>
      </c>
      <c r="G43" s="19" t="s">
        <v>826</v>
      </c>
      <c r="H43" s="46" t="s">
        <v>673</v>
      </c>
      <c r="I43" s="19" t="s">
        <v>827</v>
      </c>
    </row>
    <row r="44" spans="1:9" ht="48" x14ac:dyDescent="0.25">
      <c r="A44" s="16">
        <v>33</v>
      </c>
      <c r="B44" s="16" t="s">
        <v>828</v>
      </c>
      <c r="C44" s="16" t="s">
        <v>829</v>
      </c>
      <c r="D44" s="16" t="s">
        <v>830</v>
      </c>
      <c r="E44" s="17" t="s">
        <v>14</v>
      </c>
      <c r="F44" s="60" t="s">
        <v>664</v>
      </c>
      <c r="G44" s="16" t="s">
        <v>831</v>
      </c>
      <c r="H44" s="46" t="s">
        <v>673</v>
      </c>
      <c r="I44" s="16" t="s">
        <v>832</v>
      </c>
    </row>
    <row r="45" spans="1:9" ht="48" x14ac:dyDescent="0.25">
      <c r="A45" s="19">
        <v>34</v>
      </c>
      <c r="B45" s="19" t="s">
        <v>833</v>
      </c>
      <c r="C45" s="19" t="s">
        <v>834</v>
      </c>
      <c r="D45" s="19" t="s">
        <v>835</v>
      </c>
      <c r="E45" s="17" t="s">
        <v>14</v>
      </c>
      <c r="F45" s="60" t="s">
        <v>664</v>
      </c>
      <c r="G45" s="19" t="s">
        <v>836</v>
      </c>
      <c r="H45" s="17" t="s">
        <v>666</v>
      </c>
      <c r="I45" s="19" t="s">
        <v>837</v>
      </c>
    </row>
    <row r="46" spans="1:9" ht="48" x14ac:dyDescent="0.25">
      <c r="A46" s="16">
        <v>35</v>
      </c>
      <c r="B46" s="16" t="s">
        <v>838</v>
      </c>
      <c r="C46" s="16" t="s">
        <v>819</v>
      </c>
      <c r="D46" s="16" t="s">
        <v>839</v>
      </c>
      <c r="E46" s="24" t="s">
        <v>71</v>
      </c>
      <c r="F46" s="60" t="s">
        <v>664</v>
      </c>
      <c r="G46" s="16" t="s">
        <v>840</v>
      </c>
      <c r="H46" s="17" t="s">
        <v>666</v>
      </c>
      <c r="I46" s="16" t="s">
        <v>841</v>
      </c>
    </row>
    <row r="47" spans="1:9" ht="48" x14ac:dyDescent="0.25">
      <c r="A47" s="19">
        <v>36</v>
      </c>
      <c r="B47" s="19" t="s">
        <v>842</v>
      </c>
      <c r="C47" s="19" t="s">
        <v>843</v>
      </c>
      <c r="D47" s="19" t="s">
        <v>844</v>
      </c>
      <c r="E47" s="17" t="s">
        <v>14</v>
      </c>
      <c r="F47" s="62" t="s">
        <v>697</v>
      </c>
      <c r="G47" s="19" t="s">
        <v>845</v>
      </c>
      <c r="H47" s="46" t="s">
        <v>673</v>
      </c>
      <c r="I47" s="19" t="s">
        <v>846</v>
      </c>
    </row>
    <row r="48" spans="1:9" ht="48" x14ac:dyDescent="0.25">
      <c r="A48" s="16">
        <v>37</v>
      </c>
      <c r="B48" s="16" t="s">
        <v>847</v>
      </c>
      <c r="C48" s="16" t="s">
        <v>848</v>
      </c>
      <c r="D48" s="16" t="s">
        <v>849</v>
      </c>
      <c r="E48" s="17" t="s">
        <v>14</v>
      </c>
      <c r="F48" s="24" t="s">
        <v>729</v>
      </c>
      <c r="G48" s="16" t="s">
        <v>850</v>
      </c>
      <c r="H48" s="46" t="s">
        <v>673</v>
      </c>
      <c r="I48" s="16" t="s">
        <v>851</v>
      </c>
    </row>
  </sheetData>
  <mergeCells count="9">
    <mergeCell ref="A19:I19"/>
    <mergeCell ref="A28:I28"/>
    <mergeCell ref="A34:I34"/>
    <mergeCell ref="A41:I41"/>
    <mergeCell ref="A1:J1"/>
    <mergeCell ref="A2:J2"/>
    <mergeCell ref="A4:I4"/>
    <mergeCell ref="A11:I11"/>
    <mergeCell ref="A14:I1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65F46"/>
  </sheetPr>
  <dimension ref="A1:M97"/>
  <sheetViews>
    <sheetView zoomScaleNormal="100" workbookViewId="0">
      <pane xSplit="1" ySplit="3" topLeftCell="B4" activePane="bottomRight" state="frozen"/>
      <selection pane="topRight" activeCell="B1" sqref="B1"/>
      <selection pane="bottomLeft" activeCell="A4" sqref="A4"/>
      <selection pane="bottomRight" activeCell="D8" sqref="D8"/>
    </sheetView>
  </sheetViews>
  <sheetFormatPr defaultColWidth="8.7109375" defaultRowHeight="15" x14ac:dyDescent="0.25"/>
  <cols>
    <col min="1" max="1" width="23.28515625" bestFit="1" customWidth="1"/>
    <col min="2" max="2" width="18" customWidth="1"/>
    <col min="3" max="3" width="19.42578125" bestFit="1" customWidth="1"/>
    <col min="4" max="4" width="68" bestFit="1" customWidth="1"/>
    <col min="5" max="5" width="22.140625" bestFit="1" customWidth="1"/>
    <col min="6" max="6" width="82.85546875" bestFit="1" customWidth="1"/>
    <col min="7" max="7" width="35.7109375" bestFit="1" customWidth="1"/>
    <col min="8" max="8" width="77" bestFit="1" customWidth="1"/>
    <col min="9" max="9" width="49.140625" bestFit="1" customWidth="1"/>
    <col min="10" max="13" width="20" customWidth="1"/>
  </cols>
  <sheetData>
    <row r="1" spans="1:13" ht="20.25" x14ac:dyDescent="0.25">
      <c r="A1" s="14" t="s">
        <v>1212</v>
      </c>
      <c r="B1" s="14"/>
      <c r="C1" s="14"/>
      <c r="D1" s="14"/>
      <c r="E1" s="14"/>
      <c r="F1" s="14"/>
      <c r="G1" s="14"/>
      <c r="H1" s="14"/>
      <c r="I1" s="14"/>
      <c r="J1" s="14"/>
      <c r="K1" s="14"/>
      <c r="L1" s="14"/>
      <c r="M1" s="14"/>
    </row>
    <row r="2" spans="1:13" x14ac:dyDescent="0.25">
      <c r="A2" s="13" t="s">
        <v>852</v>
      </c>
      <c r="B2" s="13"/>
      <c r="C2" s="13"/>
      <c r="D2" s="13"/>
      <c r="E2" s="13"/>
      <c r="F2" s="13"/>
      <c r="G2" s="13"/>
      <c r="H2" s="13"/>
      <c r="I2" s="13"/>
      <c r="J2" s="13"/>
      <c r="K2" s="13"/>
      <c r="L2" s="13"/>
      <c r="M2" s="13"/>
    </row>
    <row r="4" spans="1:13" x14ac:dyDescent="0.25">
      <c r="A4" s="92" t="s">
        <v>853</v>
      </c>
      <c r="B4" s="92"/>
      <c r="C4" s="92"/>
      <c r="D4" s="92"/>
      <c r="E4" s="92"/>
      <c r="F4" s="92"/>
      <c r="G4" s="92"/>
      <c r="H4" s="92"/>
      <c r="I4" s="92"/>
      <c r="J4" s="92"/>
      <c r="K4" s="92"/>
      <c r="L4" s="92"/>
      <c r="M4" s="92"/>
    </row>
    <row r="5" spans="1:13" x14ac:dyDescent="0.25">
      <c r="A5" s="63" t="s">
        <v>0</v>
      </c>
      <c r="B5" s="63" t="s">
        <v>854</v>
      </c>
      <c r="C5" s="63" t="s">
        <v>855</v>
      </c>
      <c r="D5" s="63" t="s">
        <v>856</v>
      </c>
      <c r="E5" s="63" t="s">
        <v>5</v>
      </c>
      <c r="F5" s="63" t="s">
        <v>857</v>
      </c>
    </row>
    <row r="6" spans="1:13" ht="48" x14ac:dyDescent="0.25">
      <c r="A6" s="34">
        <v>1</v>
      </c>
      <c r="B6" s="33" t="s">
        <v>858</v>
      </c>
      <c r="C6" s="64" t="s">
        <v>859</v>
      </c>
      <c r="D6" s="34" t="s">
        <v>860</v>
      </c>
      <c r="E6" s="24" t="s">
        <v>71</v>
      </c>
      <c r="F6" s="16" t="s">
        <v>861</v>
      </c>
    </row>
    <row r="7" spans="1:13" ht="48" x14ac:dyDescent="0.25">
      <c r="A7" s="40">
        <v>2</v>
      </c>
      <c r="B7" s="39" t="s">
        <v>862</v>
      </c>
      <c r="C7" s="64" t="s">
        <v>863</v>
      </c>
      <c r="D7" s="40" t="s">
        <v>864</v>
      </c>
      <c r="E7" s="24" t="s">
        <v>71</v>
      </c>
      <c r="F7" s="19" t="s">
        <v>865</v>
      </c>
    </row>
    <row r="8" spans="1:13" ht="48" x14ac:dyDescent="0.25">
      <c r="A8" s="34">
        <v>3</v>
      </c>
      <c r="B8" s="33" t="s">
        <v>866</v>
      </c>
      <c r="C8" s="64" t="s">
        <v>867</v>
      </c>
      <c r="D8" s="34" t="s">
        <v>864</v>
      </c>
      <c r="E8" s="17" t="s">
        <v>14</v>
      </c>
      <c r="F8" s="16" t="s">
        <v>868</v>
      </c>
    </row>
    <row r="9" spans="1:13" ht="48" x14ac:dyDescent="0.25">
      <c r="A9" s="40">
        <v>4</v>
      </c>
      <c r="B9" s="39" t="s">
        <v>869</v>
      </c>
      <c r="C9" s="64" t="s">
        <v>870</v>
      </c>
      <c r="D9" s="40" t="s">
        <v>871</v>
      </c>
      <c r="E9" s="17" t="s">
        <v>14</v>
      </c>
      <c r="F9" s="19" t="s">
        <v>872</v>
      </c>
    </row>
    <row r="10" spans="1:13" ht="48" x14ac:dyDescent="0.25">
      <c r="A10" s="34">
        <v>5</v>
      </c>
      <c r="B10" s="33" t="s">
        <v>873</v>
      </c>
      <c r="C10" s="64" t="s">
        <v>874</v>
      </c>
      <c r="D10" s="34" t="s">
        <v>864</v>
      </c>
      <c r="E10" s="24" t="s">
        <v>71</v>
      </c>
      <c r="F10" s="16" t="s">
        <v>875</v>
      </c>
    </row>
    <row r="11" spans="1:13" ht="48" x14ac:dyDescent="0.25">
      <c r="A11" s="40">
        <v>6</v>
      </c>
      <c r="B11" s="39" t="s">
        <v>876</v>
      </c>
      <c r="C11" s="64" t="s">
        <v>877</v>
      </c>
      <c r="D11" s="40" t="s">
        <v>864</v>
      </c>
      <c r="E11" s="26" t="s">
        <v>135</v>
      </c>
      <c r="F11" s="19" t="s">
        <v>878</v>
      </c>
    </row>
    <row r="13" spans="1:13" x14ac:dyDescent="0.25">
      <c r="A13" s="7" t="s">
        <v>879</v>
      </c>
      <c r="B13" s="7"/>
      <c r="C13" s="7"/>
      <c r="D13" s="7"/>
      <c r="E13" s="7"/>
      <c r="F13" s="7"/>
      <c r="G13" s="7"/>
      <c r="H13" s="7"/>
      <c r="I13" s="7"/>
      <c r="J13" s="7"/>
      <c r="K13" s="7"/>
      <c r="L13" s="7"/>
      <c r="M13" s="7"/>
    </row>
    <row r="14" spans="1:13" x14ac:dyDescent="0.25">
      <c r="A14" s="65" t="s">
        <v>880</v>
      </c>
      <c r="B14" s="65" t="s">
        <v>881</v>
      </c>
      <c r="C14" s="65" t="s">
        <v>882</v>
      </c>
      <c r="D14" s="65" t="s">
        <v>883</v>
      </c>
      <c r="E14" s="65" t="s">
        <v>154</v>
      </c>
      <c r="F14" s="65" t="s">
        <v>884</v>
      </c>
      <c r="G14" s="65" t="s">
        <v>885</v>
      </c>
      <c r="H14" s="65" t="s">
        <v>886</v>
      </c>
      <c r="I14" s="65" t="s">
        <v>887</v>
      </c>
    </row>
    <row r="15" spans="1:13" ht="36" x14ac:dyDescent="0.25">
      <c r="A15" s="66" t="s">
        <v>888</v>
      </c>
      <c r="B15" s="67" t="s">
        <v>889</v>
      </c>
      <c r="C15" s="68">
        <v>3</v>
      </c>
      <c r="D15" s="69">
        <v>15</v>
      </c>
      <c r="E15" s="69" t="s">
        <v>157</v>
      </c>
      <c r="F15" s="67" t="s">
        <v>890</v>
      </c>
      <c r="G15" s="70" t="s">
        <v>246</v>
      </c>
      <c r="H15" s="71" t="s">
        <v>891</v>
      </c>
      <c r="I15" s="16" t="s">
        <v>892</v>
      </c>
    </row>
    <row r="16" spans="1:13" ht="36" x14ac:dyDescent="0.25">
      <c r="A16" s="30" t="s">
        <v>893</v>
      </c>
      <c r="B16" s="67" t="s">
        <v>894</v>
      </c>
      <c r="C16" s="68">
        <v>8</v>
      </c>
      <c r="D16" s="69">
        <v>15</v>
      </c>
      <c r="E16" s="69" t="s">
        <v>157</v>
      </c>
      <c r="F16" s="67" t="s">
        <v>895</v>
      </c>
      <c r="G16" s="70" t="s">
        <v>246</v>
      </c>
      <c r="H16" s="71" t="s">
        <v>896</v>
      </c>
      <c r="I16" s="16" t="s">
        <v>897</v>
      </c>
    </row>
    <row r="17" spans="1:13" ht="36" x14ac:dyDescent="0.25">
      <c r="A17" s="72" t="s">
        <v>898</v>
      </c>
      <c r="B17" s="67" t="s">
        <v>899</v>
      </c>
      <c r="C17" s="68">
        <v>4</v>
      </c>
      <c r="D17" s="69">
        <v>15</v>
      </c>
      <c r="E17" s="64" t="s">
        <v>900</v>
      </c>
      <c r="F17" s="67" t="s">
        <v>901</v>
      </c>
      <c r="G17" s="70" t="s">
        <v>902</v>
      </c>
      <c r="H17" s="71" t="s">
        <v>903</v>
      </c>
      <c r="I17" s="16" t="s">
        <v>904</v>
      </c>
    </row>
    <row r="18" spans="1:13" ht="36" x14ac:dyDescent="0.25">
      <c r="A18" s="29" t="s">
        <v>905</v>
      </c>
      <c r="B18" s="67" t="s">
        <v>906</v>
      </c>
      <c r="C18" s="68">
        <v>1</v>
      </c>
      <c r="D18" s="69">
        <v>3</v>
      </c>
      <c r="E18" s="64" t="s">
        <v>900</v>
      </c>
      <c r="F18" s="67" t="s">
        <v>901</v>
      </c>
      <c r="G18" s="70" t="s">
        <v>246</v>
      </c>
      <c r="H18" s="71" t="s">
        <v>907</v>
      </c>
      <c r="I18" s="16" t="s">
        <v>908</v>
      </c>
    </row>
    <row r="19" spans="1:13" ht="24" x14ac:dyDescent="0.25">
      <c r="A19" s="73" t="s">
        <v>909</v>
      </c>
      <c r="B19" s="67" t="s">
        <v>910</v>
      </c>
      <c r="C19" s="68">
        <v>3</v>
      </c>
      <c r="D19" s="69">
        <v>8</v>
      </c>
      <c r="E19" s="69" t="s">
        <v>157</v>
      </c>
      <c r="F19" s="67" t="s">
        <v>895</v>
      </c>
      <c r="G19" s="70" t="s">
        <v>246</v>
      </c>
      <c r="H19" s="71" t="s">
        <v>911</v>
      </c>
      <c r="I19" s="16" t="s">
        <v>912</v>
      </c>
    </row>
    <row r="20" spans="1:13" ht="24" x14ac:dyDescent="0.25">
      <c r="A20" s="73" t="s">
        <v>913</v>
      </c>
      <c r="B20" s="67" t="s">
        <v>914</v>
      </c>
      <c r="C20" s="68">
        <v>1</v>
      </c>
      <c r="D20" s="69">
        <v>2</v>
      </c>
      <c r="E20" s="64" t="s">
        <v>900</v>
      </c>
      <c r="F20" s="67" t="s">
        <v>901</v>
      </c>
      <c r="G20" s="70" t="s">
        <v>246</v>
      </c>
      <c r="H20" s="71" t="s">
        <v>915</v>
      </c>
      <c r="I20" s="16" t="s">
        <v>916</v>
      </c>
    </row>
    <row r="22" spans="1:13" x14ac:dyDescent="0.25">
      <c r="A22" s="8" t="s">
        <v>917</v>
      </c>
      <c r="B22" s="8"/>
      <c r="C22" s="8"/>
      <c r="D22" s="8"/>
      <c r="E22" s="8"/>
      <c r="F22" s="8"/>
      <c r="G22" s="8"/>
      <c r="H22" s="8"/>
      <c r="I22" s="8"/>
      <c r="J22" s="8"/>
      <c r="K22" s="8"/>
      <c r="L22" s="8"/>
      <c r="M22" s="8"/>
    </row>
    <row r="23" spans="1:13" x14ac:dyDescent="0.25">
      <c r="A23" s="74" t="s">
        <v>880</v>
      </c>
      <c r="B23" s="74" t="s">
        <v>881</v>
      </c>
      <c r="C23" s="74" t="s">
        <v>882</v>
      </c>
      <c r="D23" s="74" t="s">
        <v>883</v>
      </c>
      <c r="E23" s="74" t="s">
        <v>154</v>
      </c>
      <c r="F23" s="74" t="s">
        <v>884</v>
      </c>
      <c r="G23" s="74" t="s">
        <v>885</v>
      </c>
      <c r="H23" s="74" t="s">
        <v>886</v>
      </c>
      <c r="I23" s="74" t="s">
        <v>887</v>
      </c>
    </row>
    <row r="24" spans="1:13" ht="36" x14ac:dyDescent="0.25">
      <c r="A24" s="66" t="s">
        <v>888</v>
      </c>
      <c r="B24" s="67" t="s">
        <v>918</v>
      </c>
      <c r="C24" s="68">
        <v>3</v>
      </c>
      <c r="D24" s="64">
        <v>10</v>
      </c>
      <c r="E24" s="69" t="s">
        <v>157</v>
      </c>
      <c r="F24" s="67" t="s">
        <v>890</v>
      </c>
      <c r="G24" s="70" t="s">
        <v>246</v>
      </c>
      <c r="H24" s="71" t="s">
        <v>919</v>
      </c>
      <c r="I24" s="16" t="s">
        <v>920</v>
      </c>
    </row>
    <row r="25" spans="1:13" ht="36" x14ac:dyDescent="0.25">
      <c r="A25" s="30" t="s">
        <v>893</v>
      </c>
      <c r="B25" s="67" t="s">
        <v>921</v>
      </c>
      <c r="C25" s="68">
        <v>6</v>
      </c>
      <c r="D25" s="64">
        <v>10</v>
      </c>
      <c r="E25" s="69" t="s">
        <v>157</v>
      </c>
      <c r="F25" s="67" t="s">
        <v>922</v>
      </c>
      <c r="G25" s="70" t="s">
        <v>246</v>
      </c>
      <c r="H25" s="71" t="s">
        <v>923</v>
      </c>
      <c r="I25" s="16" t="s">
        <v>924</v>
      </c>
    </row>
    <row r="26" spans="1:13" ht="36" x14ac:dyDescent="0.25">
      <c r="A26" s="72" t="s">
        <v>898</v>
      </c>
      <c r="B26" s="67" t="s">
        <v>925</v>
      </c>
      <c r="C26" s="68">
        <v>2</v>
      </c>
      <c r="D26" s="64">
        <v>10</v>
      </c>
      <c r="E26" s="64" t="s">
        <v>900</v>
      </c>
      <c r="F26" s="67" t="s">
        <v>901</v>
      </c>
      <c r="G26" s="70" t="s">
        <v>926</v>
      </c>
      <c r="H26" s="71" t="s">
        <v>927</v>
      </c>
      <c r="I26" s="16" t="s">
        <v>928</v>
      </c>
    </row>
    <row r="27" spans="1:13" ht="24" x14ac:dyDescent="0.25">
      <c r="A27" s="29" t="s">
        <v>905</v>
      </c>
      <c r="B27" s="67" t="s">
        <v>929</v>
      </c>
      <c r="C27" s="68">
        <v>1</v>
      </c>
      <c r="D27" s="64">
        <v>2</v>
      </c>
      <c r="E27" s="64" t="s">
        <v>900</v>
      </c>
      <c r="F27" s="67" t="s">
        <v>901</v>
      </c>
      <c r="G27" s="70" t="s">
        <v>246</v>
      </c>
      <c r="H27" s="71" t="s">
        <v>930</v>
      </c>
      <c r="I27" s="16" t="s">
        <v>931</v>
      </c>
    </row>
    <row r="28" spans="1:13" ht="36" x14ac:dyDescent="0.25">
      <c r="A28" s="73" t="s">
        <v>932</v>
      </c>
      <c r="B28" s="67" t="s">
        <v>933</v>
      </c>
      <c r="C28" s="68">
        <v>10</v>
      </c>
      <c r="D28" s="64">
        <v>15</v>
      </c>
      <c r="E28" s="69" t="s">
        <v>157</v>
      </c>
      <c r="F28" s="67" t="s">
        <v>934</v>
      </c>
      <c r="G28" s="70" t="s">
        <v>246</v>
      </c>
      <c r="H28" s="71" t="s">
        <v>935</v>
      </c>
      <c r="I28" s="16" t="s">
        <v>936</v>
      </c>
    </row>
    <row r="29" spans="1:13" ht="36" x14ac:dyDescent="0.25">
      <c r="A29" s="73" t="s">
        <v>937</v>
      </c>
      <c r="B29" s="67" t="s">
        <v>938</v>
      </c>
      <c r="C29" s="68">
        <v>5</v>
      </c>
      <c r="D29" s="64">
        <v>10</v>
      </c>
      <c r="E29" s="69" t="s">
        <v>157</v>
      </c>
      <c r="F29" s="67" t="s">
        <v>922</v>
      </c>
      <c r="G29" s="70" t="s">
        <v>246</v>
      </c>
      <c r="H29" s="71" t="s">
        <v>939</v>
      </c>
      <c r="I29" s="16" t="s">
        <v>940</v>
      </c>
    </row>
    <row r="31" spans="1:13" x14ac:dyDescent="0.25">
      <c r="A31" s="12" t="s">
        <v>941</v>
      </c>
      <c r="B31" s="12"/>
      <c r="C31" s="12"/>
      <c r="D31" s="12"/>
      <c r="E31" s="12"/>
      <c r="F31" s="12"/>
      <c r="G31" s="12"/>
      <c r="H31" s="12"/>
      <c r="I31" s="12"/>
      <c r="J31" s="12"/>
      <c r="K31" s="12"/>
      <c r="L31" s="12"/>
      <c r="M31" s="12"/>
    </row>
    <row r="32" spans="1:13" x14ac:dyDescent="0.25">
      <c r="A32" s="75" t="s">
        <v>0</v>
      </c>
      <c r="B32" s="75" t="s">
        <v>942</v>
      </c>
      <c r="C32" s="75" t="s">
        <v>943</v>
      </c>
      <c r="D32" s="75" t="s">
        <v>944</v>
      </c>
      <c r="E32" s="75" t="s">
        <v>5</v>
      </c>
      <c r="F32" s="75" t="s">
        <v>945</v>
      </c>
      <c r="G32" s="75" t="s">
        <v>946</v>
      </c>
      <c r="H32" s="75" t="s">
        <v>501</v>
      </c>
    </row>
    <row r="33" spans="1:13" ht="36" x14ac:dyDescent="0.25">
      <c r="A33" s="34">
        <v>1</v>
      </c>
      <c r="B33" s="33" t="s">
        <v>947</v>
      </c>
      <c r="C33" s="69" t="s">
        <v>948</v>
      </c>
      <c r="D33" s="64" t="s">
        <v>949</v>
      </c>
      <c r="E33" s="24" t="s">
        <v>71</v>
      </c>
      <c r="F33" s="16" t="s">
        <v>950</v>
      </c>
      <c r="G33" s="46" t="s">
        <v>48</v>
      </c>
      <c r="H33" s="16" t="s">
        <v>951</v>
      </c>
    </row>
    <row r="34" spans="1:13" ht="36" x14ac:dyDescent="0.25">
      <c r="A34" s="40">
        <v>2</v>
      </c>
      <c r="B34" s="39" t="s">
        <v>952</v>
      </c>
      <c r="C34" s="69" t="s">
        <v>953</v>
      </c>
      <c r="D34" s="64" t="s">
        <v>954</v>
      </c>
      <c r="E34" s="17" t="s">
        <v>14</v>
      </c>
      <c r="F34" s="19" t="s">
        <v>955</v>
      </c>
      <c r="G34" s="61" t="s">
        <v>15</v>
      </c>
      <c r="H34" s="19" t="s">
        <v>956</v>
      </c>
    </row>
    <row r="35" spans="1:13" ht="36" x14ac:dyDescent="0.25">
      <c r="A35" s="34">
        <v>3</v>
      </c>
      <c r="B35" s="33" t="s">
        <v>957</v>
      </c>
      <c r="C35" s="69" t="s">
        <v>958</v>
      </c>
      <c r="D35" s="64" t="s">
        <v>958</v>
      </c>
      <c r="E35" s="26" t="s">
        <v>135</v>
      </c>
      <c r="F35" s="16" t="s">
        <v>959</v>
      </c>
      <c r="G35" s="26" t="s">
        <v>136</v>
      </c>
      <c r="H35" s="16" t="s">
        <v>960</v>
      </c>
    </row>
    <row r="36" spans="1:13" ht="48" x14ac:dyDescent="0.25">
      <c r="A36" s="40">
        <v>4</v>
      </c>
      <c r="B36" s="39" t="s">
        <v>961</v>
      </c>
      <c r="C36" s="69" t="s">
        <v>962</v>
      </c>
      <c r="D36" s="64" t="s">
        <v>963</v>
      </c>
      <c r="E36" s="24" t="s">
        <v>71</v>
      </c>
      <c r="F36" s="19" t="s">
        <v>144</v>
      </c>
      <c r="G36" s="46" t="s">
        <v>48</v>
      </c>
      <c r="H36" s="19" t="s">
        <v>964</v>
      </c>
    </row>
    <row r="37" spans="1:13" ht="36" x14ac:dyDescent="0.25">
      <c r="A37" s="34">
        <v>5</v>
      </c>
      <c r="B37" s="33" t="s">
        <v>965</v>
      </c>
      <c r="C37" s="69" t="s">
        <v>966</v>
      </c>
      <c r="D37" s="64" t="s">
        <v>967</v>
      </c>
      <c r="E37" s="17" t="s">
        <v>14</v>
      </c>
      <c r="F37" s="16" t="s">
        <v>968</v>
      </c>
      <c r="G37" s="46" t="s">
        <v>48</v>
      </c>
      <c r="H37" s="16" t="s">
        <v>969</v>
      </c>
    </row>
    <row r="38" spans="1:13" ht="48" x14ac:dyDescent="0.25">
      <c r="A38" s="40">
        <v>6</v>
      </c>
      <c r="B38" s="39" t="s">
        <v>970</v>
      </c>
      <c r="C38" s="69" t="s">
        <v>971</v>
      </c>
      <c r="D38" s="64" t="s">
        <v>972</v>
      </c>
      <c r="E38" s="24" t="s">
        <v>71</v>
      </c>
      <c r="F38" s="19" t="s">
        <v>973</v>
      </c>
      <c r="G38" s="26" t="s">
        <v>136</v>
      </c>
      <c r="H38" s="19" t="s">
        <v>974</v>
      </c>
    </row>
    <row r="39" spans="1:13" ht="48" x14ac:dyDescent="0.25">
      <c r="A39" s="34">
        <v>7</v>
      </c>
      <c r="B39" s="33" t="s">
        <v>975</v>
      </c>
      <c r="C39" s="69" t="s">
        <v>976</v>
      </c>
      <c r="D39" s="64" t="s">
        <v>976</v>
      </c>
      <c r="E39" s="17" t="s">
        <v>14</v>
      </c>
      <c r="F39" s="16" t="s">
        <v>977</v>
      </c>
      <c r="G39" s="26" t="s">
        <v>136</v>
      </c>
      <c r="H39" s="16" t="s">
        <v>978</v>
      </c>
    </row>
    <row r="40" spans="1:13" ht="36" x14ac:dyDescent="0.25">
      <c r="A40" s="40">
        <v>8</v>
      </c>
      <c r="B40" s="39" t="s">
        <v>979</v>
      </c>
      <c r="C40" s="69" t="s">
        <v>980</v>
      </c>
      <c r="D40" s="64" t="s">
        <v>980</v>
      </c>
      <c r="E40" s="26" t="s">
        <v>135</v>
      </c>
      <c r="F40" s="19" t="s">
        <v>981</v>
      </c>
      <c r="G40" s="21" t="s">
        <v>21</v>
      </c>
      <c r="H40" s="19" t="s">
        <v>982</v>
      </c>
    </row>
    <row r="41" spans="1:13" ht="48" x14ac:dyDescent="0.25">
      <c r="A41" s="34">
        <v>9</v>
      </c>
      <c r="B41" s="33" t="s">
        <v>983</v>
      </c>
      <c r="C41" s="69" t="s">
        <v>984</v>
      </c>
      <c r="D41" s="64" t="s">
        <v>985</v>
      </c>
      <c r="E41" s="24" t="s">
        <v>71</v>
      </c>
      <c r="F41" s="16" t="s">
        <v>986</v>
      </c>
      <c r="G41" s="26" t="s">
        <v>136</v>
      </c>
      <c r="H41" s="16" t="s">
        <v>987</v>
      </c>
    </row>
    <row r="42" spans="1:13" ht="48" x14ac:dyDescent="0.25">
      <c r="A42" s="40">
        <v>10</v>
      </c>
      <c r="B42" s="39" t="s">
        <v>988</v>
      </c>
      <c r="C42" s="69" t="s">
        <v>989</v>
      </c>
      <c r="D42" s="64" t="s">
        <v>985</v>
      </c>
      <c r="E42" s="17" t="s">
        <v>14</v>
      </c>
      <c r="F42" s="19" t="s">
        <v>990</v>
      </c>
      <c r="G42" s="26" t="s">
        <v>136</v>
      </c>
      <c r="H42" s="19" t="s">
        <v>991</v>
      </c>
    </row>
    <row r="44" spans="1:13" x14ac:dyDescent="0.25">
      <c r="A44" s="93" t="s">
        <v>992</v>
      </c>
      <c r="B44" s="93"/>
      <c r="C44" s="93"/>
      <c r="D44" s="93"/>
      <c r="E44" s="93"/>
      <c r="F44" s="93"/>
      <c r="G44" s="93"/>
      <c r="H44" s="93"/>
      <c r="I44" s="93"/>
      <c r="J44" s="93"/>
      <c r="K44" s="93"/>
      <c r="L44" s="93"/>
      <c r="M44" s="93"/>
    </row>
    <row r="45" spans="1:13" x14ac:dyDescent="0.25">
      <c r="A45" s="76" t="s">
        <v>993</v>
      </c>
      <c r="B45" s="76" t="s">
        <v>994</v>
      </c>
      <c r="C45" s="76" t="s">
        <v>327</v>
      </c>
      <c r="D45" s="76" t="s">
        <v>995</v>
      </c>
      <c r="E45" s="76" t="s">
        <v>996</v>
      </c>
      <c r="F45" s="76" t="s">
        <v>5</v>
      </c>
      <c r="G45" s="76" t="s">
        <v>997</v>
      </c>
    </row>
    <row r="46" spans="1:13" ht="24" x14ac:dyDescent="0.25">
      <c r="A46" s="69">
        <v>1</v>
      </c>
      <c r="B46" s="33" t="s">
        <v>998</v>
      </c>
      <c r="C46" s="16" t="s">
        <v>999</v>
      </c>
      <c r="D46" s="77" t="s">
        <v>1000</v>
      </c>
      <c r="E46" s="78" t="s">
        <v>1001</v>
      </c>
      <c r="F46" s="26" t="s">
        <v>135</v>
      </c>
      <c r="G46" s="79" t="s">
        <v>1002</v>
      </c>
    </row>
    <row r="47" spans="1:13" ht="45" x14ac:dyDescent="0.25">
      <c r="A47" s="69">
        <v>2</v>
      </c>
      <c r="B47" s="39" t="s">
        <v>1003</v>
      </c>
      <c r="C47" s="19" t="s">
        <v>1004</v>
      </c>
      <c r="D47" s="77" t="s">
        <v>1005</v>
      </c>
      <c r="E47" s="78" t="s">
        <v>1001</v>
      </c>
      <c r="F47" s="24" t="s">
        <v>71</v>
      </c>
      <c r="G47" s="79" t="s">
        <v>1006</v>
      </c>
    </row>
    <row r="48" spans="1:13" ht="36" x14ac:dyDescent="0.25">
      <c r="A48" s="69">
        <v>3</v>
      </c>
      <c r="B48" s="33" t="s">
        <v>1007</v>
      </c>
      <c r="C48" s="16" t="s">
        <v>1008</v>
      </c>
      <c r="D48" s="77" t="s">
        <v>1009</v>
      </c>
      <c r="E48" s="78" t="s">
        <v>1001</v>
      </c>
      <c r="F48" s="24" t="s">
        <v>71</v>
      </c>
      <c r="G48" s="79" t="s">
        <v>1006</v>
      </c>
    </row>
    <row r="49" spans="1:13" ht="56.25" x14ac:dyDescent="0.25">
      <c r="A49" s="69">
        <v>4</v>
      </c>
      <c r="B49" s="39" t="s">
        <v>1010</v>
      </c>
      <c r="C49" s="19" t="s">
        <v>1011</v>
      </c>
      <c r="D49" s="77" t="s">
        <v>1012</v>
      </c>
      <c r="E49" s="78" t="s">
        <v>1013</v>
      </c>
      <c r="F49" s="17" t="s">
        <v>14</v>
      </c>
      <c r="G49" s="79" t="s">
        <v>1014</v>
      </c>
    </row>
    <row r="50" spans="1:13" ht="56.25" x14ac:dyDescent="0.25">
      <c r="A50" s="69">
        <v>5</v>
      </c>
      <c r="B50" s="33" t="s">
        <v>1015</v>
      </c>
      <c r="C50" s="16" t="s">
        <v>1011</v>
      </c>
      <c r="D50" s="77" t="s">
        <v>1016</v>
      </c>
      <c r="E50" s="64" t="s">
        <v>1017</v>
      </c>
      <c r="F50" s="17" t="s">
        <v>14</v>
      </c>
      <c r="G50" s="79" t="s">
        <v>1014</v>
      </c>
    </row>
    <row r="51" spans="1:13" ht="56.25" x14ac:dyDescent="0.25">
      <c r="A51" s="69">
        <v>6</v>
      </c>
      <c r="B51" s="39" t="s">
        <v>1018</v>
      </c>
      <c r="C51" s="19" t="s">
        <v>1019</v>
      </c>
      <c r="D51" s="77" t="s">
        <v>1020</v>
      </c>
      <c r="E51" s="80" t="s">
        <v>1021</v>
      </c>
      <c r="F51" s="24" t="s">
        <v>71</v>
      </c>
      <c r="G51" s="79" t="s">
        <v>1014</v>
      </c>
    </row>
    <row r="52" spans="1:13" ht="56.25" x14ac:dyDescent="0.25">
      <c r="A52" s="69">
        <v>7</v>
      </c>
      <c r="B52" s="33" t="s">
        <v>1022</v>
      </c>
      <c r="C52" s="16" t="s">
        <v>1023</v>
      </c>
      <c r="D52" s="77" t="s">
        <v>1024</v>
      </c>
      <c r="E52" s="78" t="s">
        <v>1025</v>
      </c>
      <c r="F52" s="17" t="s">
        <v>14</v>
      </c>
      <c r="G52" s="79" t="s">
        <v>1014</v>
      </c>
    </row>
    <row r="53" spans="1:13" ht="56.25" x14ac:dyDescent="0.25">
      <c r="A53" s="69">
        <v>8</v>
      </c>
      <c r="B53" s="39" t="s">
        <v>1026</v>
      </c>
      <c r="C53" s="19" t="s">
        <v>1027</v>
      </c>
      <c r="D53" s="77" t="s">
        <v>1028</v>
      </c>
      <c r="E53" s="64" t="s">
        <v>1029</v>
      </c>
      <c r="F53" s="26" t="s">
        <v>135</v>
      </c>
      <c r="G53" s="79" t="s">
        <v>1030</v>
      </c>
    </row>
    <row r="54" spans="1:13" ht="56.25" x14ac:dyDescent="0.25">
      <c r="A54" s="69">
        <v>9</v>
      </c>
      <c r="B54" s="33" t="s">
        <v>1031</v>
      </c>
      <c r="C54" s="16" t="s">
        <v>1032</v>
      </c>
      <c r="D54" s="77" t="s">
        <v>1033</v>
      </c>
      <c r="E54" s="78" t="s">
        <v>1034</v>
      </c>
      <c r="F54" s="17" t="s">
        <v>14</v>
      </c>
      <c r="G54" s="79" t="s">
        <v>1035</v>
      </c>
    </row>
    <row r="55" spans="1:13" ht="56.25" x14ac:dyDescent="0.25">
      <c r="A55" s="69">
        <v>10</v>
      </c>
      <c r="B55" s="39" t="s">
        <v>1036</v>
      </c>
      <c r="C55" s="19" t="s">
        <v>1037</v>
      </c>
      <c r="D55" s="77" t="s">
        <v>1038</v>
      </c>
      <c r="E55" s="78" t="s">
        <v>1034</v>
      </c>
      <c r="F55" s="17" t="s">
        <v>14</v>
      </c>
      <c r="G55" s="79" t="s">
        <v>1039</v>
      </c>
    </row>
    <row r="57" spans="1:13" x14ac:dyDescent="0.25">
      <c r="A57" s="5" t="s">
        <v>1040</v>
      </c>
      <c r="B57" s="5"/>
      <c r="C57" s="5"/>
      <c r="D57" s="5"/>
      <c r="E57" s="5"/>
      <c r="F57" s="5"/>
      <c r="G57" s="5"/>
      <c r="H57" s="5"/>
      <c r="I57" s="5"/>
      <c r="J57" s="5"/>
      <c r="K57" s="5"/>
      <c r="L57" s="5"/>
      <c r="M57" s="5"/>
    </row>
    <row r="58" spans="1:13" x14ac:dyDescent="0.25">
      <c r="A58" s="81" t="s">
        <v>1041</v>
      </c>
      <c r="B58" s="81" t="s">
        <v>1042</v>
      </c>
      <c r="C58" s="81" t="s">
        <v>1043</v>
      </c>
      <c r="D58" s="81" t="s">
        <v>1044</v>
      </c>
      <c r="E58" s="81" t="s">
        <v>1045</v>
      </c>
      <c r="F58" s="81" t="s">
        <v>1046</v>
      </c>
      <c r="G58" s="81" t="s">
        <v>1047</v>
      </c>
      <c r="H58" s="81" t="s">
        <v>501</v>
      </c>
    </row>
    <row r="59" spans="1:13" ht="36" x14ac:dyDescent="0.25">
      <c r="A59" s="80" t="s">
        <v>1048</v>
      </c>
      <c r="B59" s="70" t="s">
        <v>1049</v>
      </c>
      <c r="C59" s="69" t="s">
        <v>902</v>
      </c>
      <c r="D59" s="64" t="s">
        <v>902</v>
      </c>
      <c r="E59" s="70" t="s">
        <v>1050</v>
      </c>
      <c r="F59" s="16" t="s">
        <v>1051</v>
      </c>
      <c r="G59" s="68" t="s">
        <v>1052</v>
      </c>
      <c r="H59" s="16" t="s">
        <v>1053</v>
      </c>
    </row>
    <row r="60" spans="1:13" ht="24" x14ac:dyDescent="0.25">
      <c r="A60" s="80" t="s">
        <v>1054</v>
      </c>
      <c r="B60" s="70" t="s">
        <v>1055</v>
      </c>
      <c r="C60" s="69" t="s">
        <v>1056</v>
      </c>
      <c r="D60" s="64" t="s">
        <v>926</v>
      </c>
      <c r="E60" s="70" t="s">
        <v>1057</v>
      </c>
      <c r="F60" s="16" t="s">
        <v>1058</v>
      </c>
      <c r="G60" s="68" t="s">
        <v>1052</v>
      </c>
      <c r="H60" s="16" t="s">
        <v>1059</v>
      </c>
    </row>
    <row r="61" spans="1:13" ht="24" x14ac:dyDescent="0.25">
      <c r="A61" s="80" t="s">
        <v>1060</v>
      </c>
      <c r="B61" s="70" t="s">
        <v>1061</v>
      </c>
      <c r="C61" s="69" t="s">
        <v>1056</v>
      </c>
      <c r="D61" s="64" t="s">
        <v>1056</v>
      </c>
      <c r="E61" s="70" t="s">
        <v>1062</v>
      </c>
      <c r="F61" s="16" t="s">
        <v>1063</v>
      </c>
      <c r="G61" s="64" t="s">
        <v>1064</v>
      </c>
      <c r="H61" s="16" t="s">
        <v>1065</v>
      </c>
    </row>
    <row r="62" spans="1:13" ht="24" x14ac:dyDescent="0.25">
      <c r="A62" s="80" t="s">
        <v>1066</v>
      </c>
      <c r="B62" s="70" t="s">
        <v>1067</v>
      </c>
      <c r="C62" s="69" t="s">
        <v>926</v>
      </c>
      <c r="D62" s="64" t="s">
        <v>926</v>
      </c>
      <c r="E62" s="70" t="s">
        <v>1068</v>
      </c>
      <c r="F62" s="16" t="s">
        <v>1069</v>
      </c>
      <c r="G62" s="64" t="s">
        <v>1070</v>
      </c>
      <c r="H62" s="16" t="s">
        <v>1071</v>
      </c>
    </row>
    <row r="63" spans="1:13" ht="24" x14ac:dyDescent="0.25">
      <c r="A63" s="80" t="s">
        <v>1072</v>
      </c>
      <c r="B63" s="70" t="s">
        <v>1073</v>
      </c>
      <c r="C63" s="69" t="s">
        <v>926</v>
      </c>
      <c r="D63" s="64" t="s">
        <v>926</v>
      </c>
      <c r="E63" s="70" t="s">
        <v>1068</v>
      </c>
      <c r="F63" s="16" t="s">
        <v>1074</v>
      </c>
      <c r="G63" s="64" t="s">
        <v>1075</v>
      </c>
      <c r="H63" s="16" t="s">
        <v>1076</v>
      </c>
    </row>
    <row r="64" spans="1:13" ht="24" x14ac:dyDescent="0.25">
      <c r="A64" s="80" t="s">
        <v>1077</v>
      </c>
      <c r="B64" s="70" t="s">
        <v>1078</v>
      </c>
      <c r="C64" s="69" t="s">
        <v>926</v>
      </c>
      <c r="D64" s="64" t="s">
        <v>1079</v>
      </c>
      <c r="E64" s="70" t="s">
        <v>1080</v>
      </c>
      <c r="F64" s="16" t="s">
        <v>1081</v>
      </c>
      <c r="G64" s="64" t="s">
        <v>1082</v>
      </c>
      <c r="H64" s="16" t="s">
        <v>1083</v>
      </c>
    </row>
    <row r="65" spans="1:13" ht="36" x14ac:dyDescent="0.25">
      <c r="A65" s="80" t="s">
        <v>1084</v>
      </c>
      <c r="B65" s="70" t="s">
        <v>1085</v>
      </c>
      <c r="C65" s="69" t="s">
        <v>1086</v>
      </c>
      <c r="D65" s="64" t="s">
        <v>1087</v>
      </c>
      <c r="E65" s="70" t="s">
        <v>1088</v>
      </c>
      <c r="F65" s="16" t="s">
        <v>1089</v>
      </c>
      <c r="G65" s="64" t="s">
        <v>1090</v>
      </c>
      <c r="H65" s="16" t="s">
        <v>1091</v>
      </c>
    </row>
    <row r="67" spans="1:13" x14ac:dyDescent="0.25">
      <c r="A67" s="92" t="s">
        <v>1092</v>
      </c>
      <c r="B67" s="92"/>
      <c r="C67" s="92"/>
      <c r="D67" s="92"/>
      <c r="E67" s="92"/>
      <c r="F67" s="92"/>
      <c r="G67" s="92"/>
      <c r="H67" s="92"/>
      <c r="I67" s="92"/>
      <c r="J67" s="92"/>
      <c r="K67" s="92"/>
      <c r="L67" s="92"/>
      <c r="M67" s="92"/>
    </row>
    <row r="68" spans="1:13" x14ac:dyDescent="0.25">
      <c r="A68" s="82" t="s">
        <v>880</v>
      </c>
      <c r="B68" s="82" t="s">
        <v>1093</v>
      </c>
      <c r="C68" s="82" t="s">
        <v>993</v>
      </c>
      <c r="D68" s="82" t="s">
        <v>1094</v>
      </c>
      <c r="E68" s="82" t="s">
        <v>1095</v>
      </c>
      <c r="F68" s="82" t="s">
        <v>1096</v>
      </c>
      <c r="G68" s="82" t="s">
        <v>1097</v>
      </c>
      <c r="H68" s="82" t="s">
        <v>1098</v>
      </c>
    </row>
    <row r="69" spans="1:13" ht="24" x14ac:dyDescent="0.25">
      <c r="A69" s="83" t="s">
        <v>1099</v>
      </c>
      <c r="B69" s="84" t="s">
        <v>1006</v>
      </c>
      <c r="C69" s="69" t="s">
        <v>1100</v>
      </c>
      <c r="D69" s="33" t="s">
        <v>1101</v>
      </c>
      <c r="E69" s="70" t="s">
        <v>345</v>
      </c>
      <c r="F69" s="16" t="s">
        <v>1102</v>
      </c>
      <c r="G69" s="68" t="s">
        <v>1103</v>
      </c>
      <c r="H69" s="19" t="s">
        <v>1104</v>
      </c>
    </row>
    <row r="70" spans="1:13" ht="24" x14ac:dyDescent="0.25">
      <c r="A70" s="83" t="s">
        <v>1099</v>
      </c>
      <c r="B70" s="84" t="s">
        <v>1006</v>
      </c>
      <c r="C70" s="69" t="s">
        <v>1105</v>
      </c>
      <c r="D70" s="33" t="s">
        <v>1106</v>
      </c>
      <c r="E70" s="70" t="s">
        <v>345</v>
      </c>
      <c r="F70" s="16" t="s">
        <v>1107</v>
      </c>
      <c r="G70" s="68" t="s">
        <v>1108</v>
      </c>
      <c r="H70" s="19" t="s">
        <v>1109</v>
      </c>
    </row>
    <row r="71" spans="1:13" ht="24" x14ac:dyDescent="0.25">
      <c r="A71" s="83" t="s">
        <v>1099</v>
      </c>
      <c r="B71" s="84" t="s">
        <v>1006</v>
      </c>
      <c r="C71" s="69" t="s">
        <v>1110</v>
      </c>
      <c r="D71" s="33" t="s">
        <v>1111</v>
      </c>
      <c r="E71" s="70" t="s">
        <v>345</v>
      </c>
      <c r="F71" s="16" t="s">
        <v>1112</v>
      </c>
      <c r="G71" s="68" t="s">
        <v>1113</v>
      </c>
      <c r="H71" s="19" t="s">
        <v>1114</v>
      </c>
    </row>
    <row r="72" spans="1:13" ht="24" x14ac:dyDescent="0.25">
      <c r="A72" s="83" t="s">
        <v>1099</v>
      </c>
      <c r="B72" s="84" t="s">
        <v>1006</v>
      </c>
      <c r="C72" s="69" t="s">
        <v>1115</v>
      </c>
      <c r="D72" s="33" t="s">
        <v>1116</v>
      </c>
      <c r="E72" s="70" t="s">
        <v>345</v>
      </c>
      <c r="F72" s="16" t="s">
        <v>1117</v>
      </c>
      <c r="G72" s="68" t="s">
        <v>1113</v>
      </c>
      <c r="H72" s="19" t="s">
        <v>1118</v>
      </c>
    </row>
    <row r="73" spans="1:13" ht="24" x14ac:dyDescent="0.25">
      <c r="A73" s="64" t="s">
        <v>1119</v>
      </c>
      <c r="B73" s="84" t="s">
        <v>1120</v>
      </c>
      <c r="C73" s="69" t="s">
        <v>1121</v>
      </c>
      <c r="D73" s="33" t="s">
        <v>1122</v>
      </c>
      <c r="E73" s="70" t="s">
        <v>345</v>
      </c>
      <c r="F73" s="16" t="s">
        <v>1123</v>
      </c>
      <c r="G73" s="68" t="s">
        <v>1124</v>
      </c>
      <c r="H73" s="19" t="s">
        <v>1125</v>
      </c>
    </row>
    <row r="74" spans="1:13" ht="24" x14ac:dyDescent="0.25">
      <c r="A74" s="64" t="s">
        <v>1119</v>
      </c>
      <c r="B74" s="84" t="s">
        <v>1120</v>
      </c>
      <c r="C74" s="69" t="s">
        <v>1126</v>
      </c>
      <c r="D74" s="33" t="s">
        <v>1127</v>
      </c>
      <c r="E74" s="70" t="s">
        <v>345</v>
      </c>
      <c r="F74" s="16" t="s">
        <v>1128</v>
      </c>
      <c r="G74" s="68" t="s">
        <v>1124</v>
      </c>
      <c r="H74" s="19" t="s">
        <v>1129</v>
      </c>
    </row>
    <row r="75" spans="1:13" ht="24" x14ac:dyDescent="0.25">
      <c r="A75" s="64" t="s">
        <v>1119</v>
      </c>
      <c r="B75" s="84" t="s">
        <v>1130</v>
      </c>
      <c r="C75" s="69" t="s">
        <v>1131</v>
      </c>
      <c r="D75" s="33" t="s">
        <v>1132</v>
      </c>
      <c r="E75" s="70" t="s">
        <v>345</v>
      </c>
      <c r="F75" s="16" t="s">
        <v>1133</v>
      </c>
      <c r="G75" s="68" t="s">
        <v>1103</v>
      </c>
      <c r="H75" s="19" t="s">
        <v>1134</v>
      </c>
    </row>
    <row r="76" spans="1:13" ht="24" x14ac:dyDescent="0.25">
      <c r="A76" s="64" t="s">
        <v>1119</v>
      </c>
      <c r="B76" s="84" t="s">
        <v>1130</v>
      </c>
      <c r="C76" s="69" t="s">
        <v>1135</v>
      </c>
      <c r="D76" s="33" t="s">
        <v>1136</v>
      </c>
      <c r="E76" s="70" t="s">
        <v>345</v>
      </c>
      <c r="F76" s="16" t="s">
        <v>1137</v>
      </c>
      <c r="G76" s="68" t="s">
        <v>1138</v>
      </c>
      <c r="H76" s="19" t="s">
        <v>1139</v>
      </c>
    </row>
    <row r="77" spans="1:13" ht="24" x14ac:dyDescent="0.25">
      <c r="A77" s="78" t="s">
        <v>1140</v>
      </c>
      <c r="B77" s="84" t="s">
        <v>1141</v>
      </c>
      <c r="C77" s="69" t="s">
        <v>1142</v>
      </c>
      <c r="D77" s="33" t="s">
        <v>1143</v>
      </c>
      <c r="E77" s="70" t="s">
        <v>345</v>
      </c>
      <c r="F77" s="16" t="s">
        <v>1144</v>
      </c>
      <c r="G77" s="68" t="s">
        <v>1145</v>
      </c>
      <c r="H77" s="19" t="s">
        <v>1146</v>
      </c>
    </row>
    <row r="78" spans="1:13" ht="24" x14ac:dyDescent="0.25">
      <c r="A78" s="78" t="s">
        <v>1140</v>
      </c>
      <c r="B78" s="84" t="s">
        <v>1141</v>
      </c>
      <c r="C78" s="69" t="s">
        <v>1147</v>
      </c>
      <c r="D78" s="33" t="s">
        <v>1148</v>
      </c>
      <c r="E78" s="70" t="s">
        <v>345</v>
      </c>
      <c r="F78" s="16" t="s">
        <v>1149</v>
      </c>
      <c r="G78" s="68" t="s">
        <v>1145</v>
      </c>
      <c r="H78" s="19" t="s">
        <v>1150</v>
      </c>
    </row>
    <row r="79" spans="1:13" ht="24" x14ac:dyDescent="0.25">
      <c r="A79" s="78" t="s">
        <v>1140</v>
      </c>
      <c r="B79" s="84" t="s">
        <v>1151</v>
      </c>
      <c r="C79" s="69" t="s">
        <v>1152</v>
      </c>
      <c r="D79" s="33" t="s">
        <v>1153</v>
      </c>
      <c r="E79" s="70" t="s">
        <v>345</v>
      </c>
      <c r="F79" s="16" t="s">
        <v>1154</v>
      </c>
      <c r="G79" s="68" t="s">
        <v>1155</v>
      </c>
      <c r="H79" s="19" t="s">
        <v>1156</v>
      </c>
    </row>
    <row r="80" spans="1:13" ht="24" x14ac:dyDescent="0.25">
      <c r="A80" s="78" t="s">
        <v>1140</v>
      </c>
      <c r="B80" s="84" t="s">
        <v>1151</v>
      </c>
      <c r="C80" s="69" t="s">
        <v>1157</v>
      </c>
      <c r="D80" s="33" t="s">
        <v>1158</v>
      </c>
      <c r="E80" s="70" t="s">
        <v>447</v>
      </c>
      <c r="F80" s="16" t="s">
        <v>1159</v>
      </c>
      <c r="G80" s="68" t="s">
        <v>1145</v>
      </c>
      <c r="H80" s="19" t="s">
        <v>1160</v>
      </c>
    </row>
    <row r="81" spans="1:13" ht="24" x14ac:dyDescent="0.25">
      <c r="A81" s="85" t="s">
        <v>1161</v>
      </c>
      <c r="B81" s="84" t="s">
        <v>1162</v>
      </c>
      <c r="C81" s="69" t="s">
        <v>1163</v>
      </c>
      <c r="D81" s="33" t="s">
        <v>1164</v>
      </c>
      <c r="E81" s="70" t="s">
        <v>345</v>
      </c>
      <c r="F81" s="16" t="s">
        <v>1165</v>
      </c>
      <c r="G81" s="68" t="s">
        <v>1145</v>
      </c>
      <c r="H81" s="19" t="s">
        <v>1166</v>
      </c>
    </row>
    <row r="82" spans="1:13" ht="24" x14ac:dyDescent="0.25">
      <c r="A82" s="85" t="s">
        <v>1161</v>
      </c>
      <c r="B82" s="84" t="s">
        <v>1167</v>
      </c>
      <c r="C82" s="69" t="s">
        <v>1168</v>
      </c>
      <c r="D82" s="33" t="s">
        <v>1169</v>
      </c>
      <c r="E82" s="70" t="s">
        <v>345</v>
      </c>
      <c r="F82" s="16" t="s">
        <v>1170</v>
      </c>
      <c r="G82" s="68" t="s">
        <v>1113</v>
      </c>
      <c r="H82" s="19" t="s">
        <v>1171</v>
      </c>
    </row>
    <row r="83" spans="1:13" ht="24" x14ac:dyDescent="0.25">
      <c r="A83" s="85" t="s">
        <v>1161</v>
      </c>
      <c r="B83" s="84" t="s">
        <v>1167</v>
      </c>
      <c r="C83" s="69" t="s">
        <v>1172</v>
      </c>
      <c r="D83" s="33" t="s">
        <v>1173</v>
      </c>
      <c r="E83" s="70" t="s">
        <v>345</v>
      </c>
      <c r="F83" s="16" t="s">
        <v>1174</v>
      </c>
      <c r="G83" s="68" t="s">
        <v>1138</v>
      </c>
      <c r="H83" s="19" t="s">
        <v>1175</v>
      </c>
    </row>
    <row r="84" spans="1:13" ht="24" x14ac:dyDescent="0.25">
      <c r="A84" s="68" t="s">
        <v>1176</v>
      </c>
      <c r="B84" s="84" t="s">
        <v>1177</v>
      </c>
      <c r="C84" s="69" t="s">
        <v>1178</v>
      </c>
      <c r="D84" s="33" t="s">
        <v>1179</v>
      </c>
      <c r="E84" s="70" t="s">
        <v>345</v>
      </c>
      <c r="F84" s="16" t="s">
        <v>1180</v>
      </c>
      <c r="G84" s="68" t="s">
        <v>1181</v>
      </c>
      <c r="H84" s="19" t="s">
        <v>1182</v>
      </c>
    </row>
    <row r="85" spans="1:13" ht="36" x14ac:dyDescent="0.25">
      <c r="A85" s="68" t="s">
        <v>1176</v>
      </c>
      <c r="B85" s="84" t="s">
        <v>1183</v>
      </c>
      <c r="C85" s="69" t="s">
        <v>1184</v>
      </c>
      <c r="D85" s="33" t="s">
        <v>1185</v>
      </c>
      <c r="E85" s="70" t="s">
        <v>345</v>
      </c>
      <c r="F85" s="16" t="s">
        <v>1186</v>
      </c>
      <c r="G85" s="68" t="s">
        <v>1145</v>
      </c>
      <c r="H85" s="19" t="s">
        <v>1187</v>
      </c>
    </row>
    <row r="86" spans="1:13" ht="24" x14ac:dyDescent="0.25">
      <c r="A86" s="68" t="s">
        <v>1176</v>
      </c>
      <c r="B86" s="84" t="s">
        <v>1183</v>
      </c>
      <c r="C86" s="69" t="s">
        <v>1188</v>
      </c>
      <c r="D86" s="33" t="s">
        <v>1189</v>
      </c>
      <c r="E86" s="70" t="s">
        <v>1190</v>
      </c>
      <c r="F86" s="16" t="s">
        <v>1191</v>
      </c>
      <c r="G86" s="68" t="s">
        <v>1138</v>
      </c>
      <c r="H86" s="19" t="s">
        <v>1192</v>
      </c>
    </row>
    <row r="88" spans="1:13" x14ac:dyDescent="0.25">
      <c r="A88" s="94" t="s">
        <v>1193</v>
      </c>
      <c r="B88" s="94"/>
      <c r="C88" s="94"/>
      <c r="D88" s="94"/>
      <c r="E88" s="94"/>
      <c r="F88" s="94"/>
      <c r="G88" s="94"/>
      <c r="H88" s="94"/>
      <c r="I88" s="94"/>
      <c r="J88" s="94"/>
      <c r="K88" s="94"/>
      <c r="L88" s="94"/>
      <c r="M88" s="94"/>
    </row>
    <row r="89" spans="1:13" ht="36" x14ac:dyDescent="0.25">
      <c r="A89" s="63" t="s">
        <v>1194</v>
      </c>
      <c r="B89" s="86" t="s">
        <v>1195</v>
      </c>
      <c r="C89" s="86" t="s">
        <v>1196</v>
      </c>
      <c r="D89" s="86" t="s">
        <v>1197</v>
      </c>
      <c r="E89" s="86" t="s">
        <v>1198</v>
      </c>
      <c r="F89" s="63" t="s">
        <v>1199</v>
      </c>
      <c r="G89" s="63" t="s">
        <v>1200</v>
      </c>
    </row>
    <row r="90" spans="1:13" x14ac:dyDescent="0.25">
      <c r="A90" s="67">
        <v>10</v>
      </c>
      <c r="B90" s="69">
        <v>2</v>
      </c>
      <c r="C90" s="64">
        <v>1</v>
      </c>
      <c r="D90" s="87">
        <f t="shared" ref="D90:D97" si="0">B90*115</f>
        <v>230</v>
      </c>
      <c r="E90" s="87">
        <f t="shared" ref="E90:E97" si="1">C90*200</f>
        <v>200</v>
      </c>
      <c r="F90" s="88">
        <f t="shared" ref="F90:F97" si="2">D90+E90</f>
        <v>430</v>
      </c>
      <c r="G90" s="19" t="s">
        <v>1201</v>
      </c>
    </row>
    <row r="91" spans="1:13" x14ac:dyDescent="0.25">
      <c r="A91" s="67">
        <v>20</v>
      </c>
      <c r="B91" s="69">
        <v>3</v>
      </c>
      <c r="C91" s="64">
        <v>2</v>
      </c>
      <c r="D91" s="87">
        <f t="shared" si="0"/>
        <v>345</v>
      </c>
      <c r="E91" s="87">
        <f t="shared" si="1"/>
        <v>400</v>
      </c>
      <c r="F91" s="88">
        <f t="shared" si="2"/>
        <v>745</v>
      </c>
      <c r="G91" s="16" t="s">
        <v>1202</v>
      </c>
    </row>
    <row r="92" spans="1:13" x14ac:dyDescent="0.25">
      <c r="A92" s="67">
        <v>30</v>
      </c>
      <c r="B92" s="69">
        <v>4</v>
      </c>
      <c r="C92" s="64">
        <v>3</v>
      </c>
      <c r="D92" s="87">
        <f t="shared" si="0"/>
        <v>460</v>
      </c>
      <c r="E92" s="87">
        <f t="shared" si="1"/>
        <v>600</v>
      </c>
      <c r="F92" s="88">
        <f t="shared" si="2"/>
        <v>1060</v>
      </c>
      <c r="G92" s="19" t="s">
        <v>1203</v>
      </c>
    </row>
    <row r="93" spans="1:13" x14ac:dyDescent="0.25">
      <c r="A93" s="67">
        <v>50</v>
      </c>
      <c r="B93" s="69">
        <v>7</v>
      </c>
      <c r="C93" s="64">
        <v>5</v>
      </c>
      <c r="D93" s="87">
        <f t="shared" si="0"/>
        <v>805</v>
      </c>
      <c r="E93" s="87">
        <f t="shared" si="1"/>
        <v>1000</v>
      </c>
      <c r="F93" s="88">
        <f t="shared" si="2"/>
        <v>1805</v>
      </c>
      <c r="G93" s="16" t="s">
        <v>1204</v>
      </c>
    </row>
    <row r="94" spans="1:13" x14ac:dyDescent="0.25">
      <c r="A94" s="67">
        <v>80</v>
      </c>
      <c r="B94" s="69">
        <v>10</v>
      </c>
      <c r="C94" s="64">
        <v>7</v>
      </c>
      <c r="D94" s="87">
        <f t="shared" si="0"/>
        <v>1150</v>
      </c>
      <c r="E94" s="87">
        <f t="shared" si="1"/>
        <v>1400</v>
      </c>
      <c r="F94" s="88">
        <f t="shared" si="2"/>
        <v>2550</v>
      </c>
      <c r="G94" s="19" t="s">
        <v>1205</v>
      </c>
    </row>
    <row r="95" spans="1:13" x14ac:dyDescent="0.25">
      <c r="A95" s="67">
        <v>100</v>
      </c>
      <c r="B95" s="69">
        <v>13</v>
      </c>
      <c r="C95" s="64">
        <v>9</v>
      </c>
      <c r="D95" s="87">
        <f t="shared" si="0"/>
        <v>1495</v>
      </c>
      <c r="E95" s="87">
        <f t="shared" si="1"/>
        <v>1800</v>
      </c>
      <c r="F95" s="88">
        <f t="shared" si="2"/>
        <v>3295</v>
      </c>
      <c r="G95" s="16" t="s">
        <v>1206</v>
      </c>
    </row>
    <row r="96" spans="1:13" x14ac:dyDescent="0.25">
      <c r="A96" s="67">
        <v>120</v>
      </c>
      <c r="B96" s="69">
        <v>15</v>
      </c>
      <c r="C96" s="64">
        <v>10</v>
      </c>
      <c r="D96" s="87">
        <f t="shared" si="0"/>
        <v>1725</v>
      </c>
      <c r="E96" s="87">
        <f t="shared" si="1"/>
        <v>2000</v>
      </c>
      <c r="F96" s="88">
        <f t="shared" si="2"/>
        <v>3725</v>
      </c>
      <c r="G96" s="19" t="s">
        <v>1207</v>
      </c>
    </row>
    <row r="97" spans="1:7" x14ac:dyDescent="0.25">
      <c r="A97" s="67">
        <v>150</v>
      </c>
      <c r="B97" s="69">
        <v>19</v>
      </c>
      <c r="C97" s="64">
        <v>13</v>
      </c>
      <c r="D97" s="87">
        <f t="shared" si="0"/>
        <v>2185</v>
      </c>
      <c r="E97" s="87">
        <f t="shared" si="1"/>
        <v>2600</v>
      </c>
      <c r="F97" s="88">
        <f t="shared" si="2"/>
        <v>4785</v>
      </c>
      <c r="G97" s="16" t="s">
        <v>1208</v>
      </c>
    </row>
  </sheetData>
  <mergeCells count="10">
    <mergeCell ref="A31:M31"/>
    <mergeCell ref="A44:M44"/>
    <mergeCell ref="A57:M57"/>
    <mergeCell ref="A67:M67"/>
    <mergeCell ref="A88:M88"/>
    <mergeCell ref="A1:M1"/>
    <mergeCell ref="A2:M2"/>
    <mergeCell ref="A4:M4"/>
    <mergeCell ref="A13:M13"/>
    <mergeCell ref="A22:M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AVD Session Settings</vt:lpstr>
      <vt:lpstr>FSLogix Settings</vt:lpstr>
      <vt:lpstr>OS &amp; App Patching</vt:lpstr>
      <vt:lpstr>Cost Tracker</vt:lpstr>
      <vt:lpstr>Security Settings</vt:lpstr>
      <vt:lpstr>AVD Auto-Scaling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Jaimin Shah</cp:lastModifiedBy>
  <cp:revision>0</cp:revision>
  <dcterms:created xsi:type="dcterms:W3CDTF">2026-05-12T14:30:47Z</dcterms:created>
  <dcterms:modified xsi:type="dcterms:W3CDTF">2026-05-13T14:00:10Z</dcterms:modified>
  <dc:language>en-US</dc:language>
</cp:coreProperties>
</file>